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blessin\cfm\cfm_journal\"/>
    </mc:Choice>
  </mc:AlternateContent>
  <xr:revisionPtr revIDLastSave="0" documentId="13_ncr:1_{6F2D1035-BF85-45ED-A4A8-D050768A316A}" xr6:coauthVersionLast="47" xr6:coauthVersionMax="47" xr10:uidLastSave="{00000000-0000-0000-0000-000000000000}"/>
  <bookViews>
    <workbookView xWindow="-24735" yWindow="6585" windowWidth="22980" windowHeight="12195" xr2:uid="{00000000-000D-0000-FFFF-FFFF00000000}"/>
  </bookViews>
  <sheets>
    <sheet name="Ledger" sheetId="1" r:id="rId1"/>
  </sheets>
  <definedNames>
    <definedName name="_xlnm._FilterDatabase" localSheetId="0" hidden="1">Ledger!$A$1:$J$88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2" i="1" l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<sst xmlns="http://schemas.openxmlformats.org/spreadsheetml/2006/main" count="394" uniqueCount="35">
  <si>
    <t>Account</t>
  </si>
  <si>
    <t>Date</t>
  </si>
  <si>
    <t>Action</t>
  </si>
  <si>
    <t>Symbol</t>
  </si>
  <si>
    <t>Contracts</t>
  </si>
  <si>
    <t>Strike</t>
  </si>
  <si>
    <t>Expiry</t>
  </si>
  <si>
    <t>Premium/Buyback</t>
  </si>
  <si>
    <t>Underlying</t>
  </si>
  <si>
    <t>Key</t>
  </si>
  <si>
    <t>Side</t>
  </si>
  <si>
    <t>Travis</t>
  </si>
  <si>
    <t>OPEN</t>
  </si>
  <si>
    <t>NVDA</t>
  </si>
  <si>
    <t>Call</t>
  </si>
  <si>
    <t>CLOSE</t>
  </si>
  <si>
    <t>NVDA|180|2025-10-17|CALL|OPEN</t>
  </si>
  <si>
    <t>NVDA|180|2025-10-17|CALL|CLOSE</t>
  </si>
  <si>
    <t>NVDA|170|2025-10-17|CALL|OPEN</t>
  </si>
  <si>
    <t>NVDA|172.5|2025-10-17|CALL|OPEN</t>
  </si>
  <si>
    <t>NVDA|170|2025-10-17|CALL|CLOSE</t>
  </si>
  <si>
    <t>NVDA|172.5|2025-10-17|CALL|CLOSE</t>
  </si>
  <si>
    <t>NVDA|170|2025-10-24|CALL|OPEN</t>
  </si>
  <si>
    <t>NVDA|170|2025-10-24|CALL|CLOSE</t>
  </si>
  <si>
    <t>NVDA|167.5|2025-10-31|CALL|OPEN</t>
  </si>
  <si>
    <t>NVDA|167.5|2025-10-31|CALL|CLOSE</t>
  </si>
  <si>
    <t>NVDA|180|2025-11-07|CALL|OPEN</t>
  </si>
  <si>
    <t>NVDA|180|2025-11-07|CALL|CLOSE</t>
  </si>
  <si>
    <t>NVDA|182.5|2025-11-14|CALL|OPEN</t>
  </si>
  <si>
    <t>NVDA|182.5|2025-11-14|CALL|CLOSE</t>
  </si>
  <si>
    <t>NVDA|170|2025-11-14|CALL|OPEN</t>
  </si>
  <si>
    <t>NVDA|170|2025-11-14|CALL|CLOSE</t>
  </si>
  <si>
    <t>NVDA|170|2025-11-21|CALL|OPEN</t>
  </si>
  <si>
    <t>NVDA|170|2025-11-21|CALL|CLOSE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</si>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</sst>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topLeftCell="A64" workbookViewId="0">
      <selection activeCell="L88" sqref="L88"/>
    </sheetView>
  </sheetViews>
  <sheetFormatPr defaultRowHeight="15" x14ac:dyDescent="0.25"/>
  <cols>
    <col min="1" max="2" width="18.7109375" customWidth="1"/>
    <col min="3" max="3" width="9" bestFit="1" customWidth="1"/>
    <col min="4" max="4" width="9.85546875" bestFit="1" customWidth="1"/>
    <col min="5" max="5" width="11.5703125" bestFit="1" customWidth="1"/>
    <col min="6" max="6" width="8.42578125" bestFit="1" customWidth="1"/>
    <col min="7" max="9" width="18.7109375" customWidth="1"/>
    <col min="10" max="10" width="3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45923.423611111109</v>
      </c>
      <c r="C2" t="s">
        <v>12</v>
      </c>
      <c r="D2" t="s">
        <v>13</v>
      </c>
      <c r="E2">
        <v>1</v>
      </c>
      <c r="F2">
        <v>175</v>
      </c>
      <c r="G2" s="1">
        <v>45926</v>
      </c>
      <c r="H2">
        <v>6.31</v>
      </c>
      <c r="I2">
        <v>180.25</v>
      </c>
      <c r="J2" t="str">
        <f t="shared" ref="J2:J11" si="0">UPPER(D2) &amp; "|" &amp; IF(F2="","",IF(MOD(F2,1)=0,TEXT(F2,"0"),TEXT(F2,"0.################"))) &amp; "|" &amp; TEXT(G2,"yyyy-mm-dd") &amp; "|" &amp; IF(K2="", "CALL", UPPER(K2)) &amp; "|" &amp; IF(C2="", "OPEN", UPPER(C2))</f>
        <v>NVDA|175|2025-09-26|CALL|OPEN</v>
      </c>
      <c r="K2" t="s">
        <v>14</v>
      </c>
    </row>
    <row r="3" spans="1:11" x14ac:dyDescent="0.25">
      <c r="A3" t="s">
        <v>11</v>
      </c>
      <c r="B3" s="1">
        <v>45925.363888888889</v>
      </c>
      <c r="C3" t="s">
        <v>15</v>
      </c>
      <c r="D3" t="s">
        <v>13</v>
      </c>
      <c r="E3">
        <v>1</v>
      </c>
      <c r="F3">
        <v>175</v>
      </c>
      <c r="G3" s="1">
        <v>45926</v>
      </c>
      <c r="H3">
        <v>1.1200000000000001</v>
      </c>
      <c r="I3">
        <v>173.49</v>
      </c>
      <c r="J3" t="str">
        <f t="shared" si="0"/>
        <v>NVDA|175|2025-09-26|CALL|CLOSE</v>
      </c>
      <c r="K3" t="s">
        <v>14</v>
      </c>
    </row>
    <row r="4" spans="1:11" x14ac:dyDescent="0.25">
      <c r="A4" t="s">
        <v>11</v>
      </c>
      <c r="B4" s="1">
        <v>45925.363888888889</v>
      </c>
      <c r="C4" t="s">
        <v>12</v>
      </c>
      <c r="D4" t="s">
        <v>13</v>
      </c>
      <c r="E4">
        <v>1</v>
      </c>
      <c r="F4">
        <v>162.5</v>
      </c>
      <c r="G4" s="1">
        <v>45933</v>
      </c>
      <c r="H4">
        <v>11.75</v>
      </c>
      <c r="I4">
        <v>173.49</v>
      </c>
      <c r="J4" t="str">
        <f t="shared" si="0"/>
        <v>NVDA|162.5|2025-10-03|CALL|OPEN</v>
      </c>
      <c r="K4" t="s">
        <v>14</v>
      </c>
    </row>
    <row r="5" spans="1:11" x14ac:dyDescent="0.25">
      <c r="A5" t="s">
        <v>11</v>
      </c>
      <c r="B5" s="1">
        <v>45929.374305555553</v>
      </c>
      <c r="C5" t="s">
        <v>15</v>
      </c>
      <c r="D5" t="s">
        <v>13</v>
      </c>
      <c r="E5">
        <v>1</v>
      </c>
      <c r="F5">
        <v>162.5</v>
      </c>
      <c r="G5" s="1">
        <v>45933</v>
      </c>
      <c r="H5">
        <v>20.85</v>
      </c>
      <c r="I5">
        <v>183.06</v>
      </c>
      <c r="J5" t="str">
        <f t="shared" si="0"/>
        <v>NVDA|162.5|2025-10-03|CALL|CLOSE</v>
      </c>
      <c r="K5" t="s">
        <v>14</v>
      </c>
    </row>
    <row r="6" spans="1:11" x14ac:dyDescent="0.25">
      <c r="A6" t="s">
        <v>11</v>
      </c>
      <c r="B6" s="1">
        <v>45929.374305555553</v>
      </c>
      <c r="C6" t="s">
        <v>12</v>
      </c>
      <c r="D6" t="s">
        <v>13</v>
      </c>
      <c r="E6">
        <v>1</v>
      </c>
      <c r="F6">
        <v>177.5</v>
      </c>
      <c r="G6" s="1">
        <v>45933</v>
      </c>
      <c r="H6">
        <v>6.68</v>
      </c>
      <c r="I6">
        <v>183.06</v>
      </c>
      <c r="J6" t="str">
        <f t="shared" si="0"/>
        <v>NVDA|177.5|2025-10-03|CALL|OPEN</v>
      </c>
      <c r="K6" t="s">
        <v>14</v>
      </c>
    </row>
    <row r="7" spans="1:11" x14ac:dyDescent="0.25">
      <c r="A7" t="s">
        <v>11</v>
      </c>
      <c r="B7" s="1">
        <v>45932.404166666667</v>
      </c>
      <c r="C7" t="s">
        <v>15</v>
      </c>
      <c r="D7" t="s">
        <v>13</v>
      </c>
      <c r="E7">
        <v>1</v>
      </c>
      <c r="F7">
        <v>177.5</v>
      </c>
      <c r="G7" s="1">
        <v>45933</v>
      </c>
      <c r="H7">
        <v>12.44</v>
      </c>
      <c r="I7">
        <v>189.79</v>
      </c>
      <c r="J7" t="str">
        <f t="shared" si="0"/>
        <v>NVDA|177.5|2025-10-03|CALL|CLOSE</v>
      </c>
      <c r="K7" t="s">
        <v>14</v>
      </c>
    </row>
    <row r="8" spans="1:11" x14ac:dyDescent="0.25">
      <c r="A8" t="s">
        <v>11</v>
      </c>
      <c r="B8" s="1">
        <v>45929.374305555553</v>
      </c>
      <c r="C8" t="s">
        <v>12</v>
      </c>
      <c r="D8" t="s">
        <v>13</v>
      </c>
      <c r="E8">
        <v>1</v>
      </c>
      <c r="F8">
        <v>177.5</v>
      </c>
      <c r="G8" s="1">
        <v>45940</v>
      </c>
      <c r="H8">
        <v>8</v>
      </c>
      <c r="I8">
        <v>183.06</v>
      </c>
      <c r="J8" t="str">
        <f t="shared" si="0"/>
        <v>NVDA|177.5|2025-10-10|CALL|OPEN</v>
      </c>
      <c r="K8" t="s">
        <v>14</v>
      </c>
    </row>
    <row r="9" spans="1:11" x14ac:dyDescent="0.25">
      <c r="A9" t="s">
        <v>11</v>
      </c>
      <c r="B9" s="1">
        <v>45929.374305555553</v>
      </c>
      <c r="C9" t="s">
        <v>15</v>
      </c>
      <c r="D9" t="s">
        <v>13</v>
      </c>
      <c r="E9">
        <v>1</v>
      </c>
      <c r="F9">
        <v>177.5</v>
      </c>
      <c r="G9" s="1">
        <v>45940</v>
      </c>
      <c r="H9">
        <v>8.0299999999999994</v>
      </c>
      <c r="I9">
        <v>183.06</v>
      </c>
      <c r="J9" t="str">
        <f t="shared" si="0"/>
        <v>NVDA|177.5|2025-10-10|CALL|CLOSE</v>
      </c>
      <c r="K9" t="s">
        <v>14</v>
      </c>
    </row>
    <row r="10" spans="1:11" x14ac:dyDescent="0.25">
      <c r="A10" t="s">
        <v>11</v>
      </c>
      <c r="B10" s="1">
        <v>45932.404166666667</v>
      </c>
      <c r="C10" t="s">
        <v>12</v>
      </c>
      <c r="D10" t="s">
        <v>13</v>
      </c>
      <c r="E10">
        <v>1</v>
      </c>
      <c r="F10">
        <v>180</v>
      </c>
      <c r="G10" s="1">
        <v>45940</v>
      </c>
      <c r="H10">
        <v>11.16</v>
      </c>
      <c r="I10">
        <v>189.79</v>
      </c>
      <c r="J10" t="str">
        <f t="shared" si="0"/>
        <v>NVDA|180|2025-10-10|CALL|OPEN</v>
      </c>
      <c r="K10" t="s">
        <v>14</v>
      </c>
    </row>
    <row r="11" spans="1:11" x14ac:dyDescent="0.25">
      <c r="A11" t="s">
        <v>11</v>
      </c>
      <c r="B11" s="1">
        <v>45939.365277777782</v>
      </c>
      <c r="C11" t="s">
        <v>15</v>
      </c>
      <c r="D11" t="s">
        <v>13</v>
      </c>
      <c r="E11">
        <v>1</v>
      </c>
      <c r="F11">
        <v>180</v>
      </c>
      <c r="G11" s="1">
        <v>45940</v>
      </c>
      <c r="H11">
        <v>13</v>
      </c>
      <c r="I11">
        <v>192.83</v>
      </c>
      <c r="J11" t="str">
        <f t="shared" si="0"/>
        <v>NVDA|180|2025-10-10|CALL|CLOSE</v>
      </c>
      <c r="K11" t="s">
        <v>14</v>
      </c>
    </row>
    <row r="12" spans="1:11" x14ac:dyDescent="0.25">
      <c r="A12" t="s">
        <v>11</v>
      </c>
      <c r="B12" s="1">
        <v>45939.365277777782</v>
      </c>
      <c r="C12" t="s">
        <v>12</v>
      </c>
      <c r="D12" t="s">
        <v>13</v>
      </c>
      <c r="E12">
        <v>1</v>
      </c>
      <c r="F12">
        <v>180</v>
      </c>
      <c r="G12" s="1">
        <v>45947</v>
      </c>
      <c r="H12">
        <v>14.02</v>
      </c>
      <c r="I12">
        <v>192.84</v>
      </c>
      <c r="J12" t="s">
        <v>16</v>
      </c>
      <c r="K12" t="s">
        <v>14</v>
      </c>
    </row>
    <row r="13" spans="1:11" x14ac:dyDescent="0.25">
      <c r="A13" t="s">
        <v>11</v>
      </c>
      <c r="B13" s="1">
        <v>45945.510416666657</v>
      </c>
      <c r="C13" t="s">
        <v>15</v>
      </c>
      <c r="D13" t="s">
        <v>13</v>
      </c>
      <c r="E13">
        <v>1</v>
      </c>
      <c r="F13">
        <v>180</v>
      </c>
      <c r="G13" s="1">
        <v>45947</v>
      </c>
      <c r="H13">
        <v>2.09</v>
      </c>
      <c r="I13">
        <v>177.5</v>
      </c>
      <c r="J13" t="s">
        <v>17</v>
      </c>
      <c r="K13" t="s">
        <v>14</v>
      </c>
    </row>
    <row r="14" spans="1:11" x14ac:dyDescent="0.25">
      <c r="A14" t="s">
        <v>11</v>
      </c>
      <c r="B14" s="1">
        <v>45945.510416666657</v>
      </c>
      <c r="C14" t="s">
        <v>12</v>
      </c>
      <c r="D14" t="s">
        <v>13</v>
      </c>
      <c r="E14">
        <v>1</v>
      </c>
      <c r="F14">
        <v>170</v>
      </c>
      <c r="G14" s="1">
        <v>45947</v>
      </c>
      <c r="H14">
        <v>8.65</v>
      </c>
      <c r="I14">
        <v>177.5</v>
      </c>
      <c r="J14" t="s">
        <v>18</v>
      </c>
      <c r="K14" t="s">
        <v>14</v>
      </c>
    </row>
    <row r="15" spans="1:11" x14ac:dyDescent="0.25">
      <c r="A15" t="s">
        <v>11</v>
      </c>
      <c r="B15" s="1">
        <v>45944.396527777782</v>
      </c>
      <c r="C15" t="s">
        <v>12</v>
      </c>
      <c r="D15" t="s">
        <v>13</v>
      </c>
      <c r="E15">
        <v>1</v>
      </c>
      <c r="F15">
        <v>172.5</v>
      </c>
      <c r="G15" s="1">
        <v>45947</v>
      </c>
      <c r="H15">
        <v>10.5</v>
      </c>
      <c r="I15">
        <v>181.95</v>
      </c>
      <c r="J15" t="s">
        <v>19</v>
      </c>
      <c r="K15" t="s">
        <v>14</v>
      </c>
    </row>
    <row r="16" spans="1:11" x14ac:dyDescent="0.25">
      <c r="A16" t="s">
        <v>11</v>
      </c>
      <c r="B16" s="1">
        <v>45947.382638888892</v>
      </c>
      <c r="C16" t="s">
        <v>15</v>
      </c>
      <c r="D16" t="s">
        <v>13</v>
      </c>
      <c r="E16">
        <v>1</v>
      </c>
      <c r="F16">
        <v>170</v>
      </c>
      <c r="G16" s="1">
        <v>45947</v>
      </c>
      <c r="H16">
        <v>11.8</v>
      </c>
      <c r="I16">
        <v>182.22</v>
      </c>
      <c r="J16" t="s">
        <v>20</v>
      </c>
      <c r="K16" t="s">
        <v>14</v>
      </c>
    </row>
    <row r="17" spans="1:11" x14ac:dyDescent="0.25">
      <c r="A17" t="s">
        <v>11</v>
      </c>
      <c r="B17" s="1">
        <v>45947.382638888892</v>
      </c>
      <c r="C17" t="s">
        <v>15</v>
      </c>
      <c r="D17" t="s">
        <v>13</v>
      </c>
      <c r="E17">
        <v>1</v>
      </c>
      <c r="F17">
        <v>172.5</v>
      </c>
      <c r="G17" s="1">
        <v>45947</v>
      </c>
      <c r="H17">
        <v>9.9600000000000009</v>
      </c>
      <c r="I17">
        <v>182.22</v>
      </c>
      <c r="J17" t="s">
        <v>21</v>
      </c>
      <c r="K17" t="s">
        <v>14</v>
      </c>
    </row>
    <row r="18" spans="1:11" x14ac:dyDescent="0.25">
      <c r="A18" t="s">
        <v>11</v>
      </c>
      <c r="B18" s="1">
        <v>45947.382638888892</v>
      </c>
      <c r="C18" t="s">
        <v>12</v>
      </c>
      <c r="D18" t="s">
        <v>13</v>
      </c>
      <c r="E18">
        <v>1</v>
      </c>
      <c r="F18">
        <v>170</v>
      </c>
      <c r="G18" s="1">
        <v>45954</v>
      </c>
      <c r="H18">
        <v>13.15</v>
      </c>
      <c r="I18">
        <v>182.22</v>
      </c>
      <c r="J18" t="s">
        <v>22</v>
      </c>
      <c r="K18" t="s">
        <v>14</v>
      </c>
    </row>
    <row r="19" spans="1:11" x14ac:dyDescent="0.25">
      <c r="A19" t="s">
        <v>11</v>
      </c>
      <c r="B19" s="1">
        <v>45947.382638888892</v>
      </c>
      <c r="C19" t="s">
        <v>12</v>
      </c>
      <c r="D19" t="s">
        <v>13</v>
      </c>
      <c r="E19">
        <v>1</v>
      </c>
      <c r="F19">
        <v>170</v>
      </c>
      <c r="G19" s="1">
        <v>45954</v>
      </c>
      <c r="H19">
        <v>13.68</v>
      </c>
      <c r="I19">
        <v>182.22</v>
      </c>
      <c r="J19" t="s">
        <v>22</v>
      </c>
      <c r="K19" t="s">
        <v>14</v>
      </c>
    </row>
    <row r="20" spans="1:11" x14ac:dyDescent="0.25">
      <c r="A20" t="s">
        <v>11</v>
      </c>
      <c r="B20" s="1">
        <v>45953.416666666657</v>
      </c>
      <c r="C20" t="s">
        <v>15</v>
      </c>
      <c r="D20" t="s">
        <v>13</v>
      </c>
      <c r="E20">
        <v>2</v>
      </c>
      <c r="F20">
        <v>170</v>
      </c>
      <c r="G20" s="1">
        <v>45954</v>
      </c>
      <c r="H20">
        <v>12.42</v>
      </c>
      <c r="I20">
        <v>182.26</v>
      </c>
      <c r="J20" t="s">
        <v>23</v>
      </c>
      <c r="K20" t="s">
        <v>14</v>
      </c>
    </row>
    <row r="21" spans="1:11" x14ac:dyDescent="0.25">
      <c r="A21" t="s">
        <v>11</v>
      </c>
      <c r="B21" s="1">
        <v>45953.416666666657</v>
      </c>
      <c r="C21" t="s">
        <v>12</v>
      </c>
      <c r="D21" t="s">
        <v>13</v>
      </c>
      <c r="E21">
        <v>2</v>
      </c>
      <c r="F21">
        <v>167.5</v>
      </c>
      <c r="G21" s="1">
        <v>45961</v>
      </c>
      <c r="H21">
        <v>15.79</v>
      </c>
      <c r="I21">
        <v>182.26</v>
      </c>
      <c r="J21" t="s">
        <v>24</v>
      </c>
      <c r="K21" t="s">
        <v>14</v>
      </c>
    </row>
    <row r="22" spans="1:11" x14ac:dyDescent="0.25">
      <c r="A22" t="s">
        <v>11</v>
      </c>
      <c r="B22" s="1">
        <v>45958.556944444441</v>
      </c>
      <c r="C22" t="s">
        <v>15</v>
      </c>
      <c r="D22" t="s">
        <v>13</v>
      </c>
      <c r="E22">
        <v>2</v>
      </c>
      <c r="F22">
        <v>167.5</v>
      </c>
      <c r="G22" s="1">
        <v>45961</v>
      </c>
      <c r="H22">
        <v>31.9</v>
      </c>
      <c r="I22">
        <v>199.19</v>
      </c>
      <c r="J22" t="s">
        <v>25</v>
      </c>
      <c r="K22" t="s">
        <v>14</v>
      </c>
    </row>
    <row r="23" spans="1:11" x14ac:dyDescent="0.25">
      <c r="A23" t="s">
        <v>11</v>
      </c>
      <c r="B23" s="1">
        <v>45958.556944444441</v>
      </c>
      <c r="C23" t="s">
        <v>12</v>
      </c>
      <c r="D23" t="s">
        <v>13</v>
      </c>
      <c r="E23">
        <v>2</v>
      </c>
      <c r="F23">
        <v>180</v>
      </c>
      <c r="G23" s="1">
        <v>45968</v>
      </c>
      <c r="H23">
        <v>20.49</v>
      </c>
      <c r="I23">
        <v>199.19</v>
      </c>
      <c r="J23" t="s">
        <v>26</v>
      </c>
      <c r="K23" t="s">
        <v>14</v>
      </c>
    </row>
    <row r="24" spans="1:11" x14ac:dyDescent="0.25">
      <c r="A24" t="s">
        <v>11</v>
      </c>
      <c r="B24" s="1">
        <v>45967.356249999997</v>
      </c>
      <c r="C24" t="s">
        <v>15</v>
      </c>
      <c r="D24" t="s">
        <v>13</v>
      </c>
      <c r="E24">
        <v>2</v>
      </c>
      <c r="F24">
        <v>180</v>
      </c>
      <c r="G24" s="1">
        <v>45968</v>
      </c>
      <c r="H24">
        <v>17.600000000000001</v>
      </c>
      <c r="I24">
        <v>197.25</v>
      </c>
      <c r="J24" t="s">
        <v>27</v>
      </c>
      <c r="K24" t="s">
        <v>14</v>
      </c>
    </row>
    <row r="25" spans="1:11" x14ac:dyDescent="0.25">
      <c r="A25" t="s">
        <v>11</v>
      </c>
      <c r="B25" s="1">
        <v>45967.356249999997</v>
      </c>
      <c r="C25" t="s">
        <v>12</v>
      </c>
      <c r="D25" t="s">
        <v>13</v>
      </c>
      <c r="E25">
        <v>2</v>
      </c>
      <c r="F25">
        <v>182.5</v>
      </c>
      <c r="G25" s="1">
        <v>45975</v>
      </c>
      <c r="H25">
        <v>16.12</v>
      </c>
      <c r="I25">
        <v>197.25</v>
      </c>
      <c r="J25" t="s">
        <v>28</v>
      </c>
      <c r="K25" t="s">
        <v>14</v>
      </c>
    </row>
    <row r="26" spans="1:11" x14ac:dyDescent="0.25">
      <c r="A26" t="s">
        <v>11</v>
      </c>
      <c r="B26" s="1">
        <v>45968.35833333333</v>
      </c>
      <c r="C26" t="s">
        <v>15</v>
      </c>
      <c r="D26" t="s">
        <v>13</v>
      </c>
      <c r="E26">
        <v>2</v>
      </c>
      <c r="F26">
        <v>182.5</v>
      </c>
      <c r="G26" s="1">
        <v>45975</v>
      </c>
      <c r="H26">
        <v>6.06</v>
      </c>
      <c r="I26">
        <v>183.65</v>
      </c>
      <c r="J26" t="s">
        <v>29</v>
      </c>
      <c r="K26" t="s">
        <v>14</v>
      </c>
    </row>
    <row r="27" spans="1:11" x14ac:dyDescent="0.25">
      <c r="A27" t="s">
        <v>11</v>
      </c>
      <c r="B27" s="1">
        <v>45968.35833333333</v>
      </c>
      <c r="C27" t="s">
        <v>12</v>
      </c>
      <c r="D27" t="s">
        <v>13</v>
      </c>
      <c r="E27">
        <v>2</v>
      </c>
      <c r="F27">
        <v>170</v>
      </c>
      <c r="G27" s="1">
        <v>45975</v>
      </c>
      <c r="H27">
        <v>15.16</v>
      </c>
      <c r="I27">
        <v>183.65</v>
      </c>
      <c r="J27" t="s">
        <v>30</v>
      </c>
      <c r="K27" t="s">
        <v>14</v>
      </c>
    </row>
    <row r="28" spans="1:11" x14ac:dyDescent="0.25">
      <c r="A28" t="s">
        <v>11</v>
      </c>
      <c r="B28" s="1">
        <v>45971.40625</v>
      </c>
      <c r="C28" t="s">
        <v>15</v>
      </c>
      <c r="D28" t="s">
        <v>13</v>
      </c>
      <c r="E28">
        <v>2</v>
      </c>
      <c r="F28">
        <v>170</v>
      </c>
      <c r="G28" s="1">
        <v>45975</v>
      </c>
      <c r="H28">
        <v>26.45</v>
      </c>
      <c r="I28">
        <v>196.26</v>
      </c>
      <c r="J28" t="s">
        <v>31</v>
      </c>
      <c r="K28" t="s">
        <v>14</v>
      </c>
    </row>
    <row r="29" spans="1:11" x14ac:dyDescent="0.25">
      <c r="A29" t="s">
        <v>11</v>
      </c>
      <c r="B29" s="1">
        <v>45971.40625</v>
      </c>
      <c r="C29" t="s">
        <v>12</v>
      </c>
      <c r="D29" t="s">
        <v>13</v>
      </c>
      <c r="E29">
        <v>2</v>
      </c>
      <c r="F29">
        <v>170</v>
      </c>
      <c r="G29" s="1">
        <v>45982</v>
      </c>
      <c r="H29">
        <v>27.5</v>
      </c>
      <c r="I29">
        <v>196.26</v>
      </c>
      <c r="J29" t="s">
        <v>32</v>
      </c>
      <c r="K29" t="s">
        <v>14</v>
      </c>
    </row>
    <row r="30" spans="1:11" x14ac:dyDescent="0.25">
      <c r="A30" t="s">
        <v>11</v>
      </c>
      <c r="B30" s="1">
        <v>45979.368055555547</v>
      </c>
      <c r="C30" t="s">
        <v>15</v>
      </c>
      <c r="D30" t="s">
        <v>13</v>
      </c>
      <c r="E30">
        <v>2</v>
      </c>
      <c r="F30">
        <v>170</v>
      </c>
      <c r="G30" s="1">
        <v>45982</v>
      </c>
      <c r="H30">
        <v>14.21</v>
      </c>
      <c r="I30">
        <v>181.72</v>
      </c>
      <c r="J30" t="s">
        <v>33</v>
      </c>
      <c r="K30" t="s">
        <v>14</v>
      </c>
    </row>
    <row r="31" spans="1:11" x14ac:dyDescent="0.25">
      <c r="A31" t="s">
        <v>11</v>
      </c>
      <c r="B31" s="1">
        <v>45979.368055555547</v>
      </c>
      <c r="C31" t="s">
        <v>12</v>
      </c>
      <c r="D31" t="s">
        <v>13</v>
      </c>
      <c r="E31">
        <v>2</v>
      </c>
      <c r="F31">
        <v>165</v>
      </c>
      <c r="G31" s="1">
        <v>45989</v>
      </c>
      <c r="H31">
        <v>19.190000000000001</v>
      </c>
      <c r="I31">
        <v>181.72</v>
      </c>
      <c r="J31" t="str">
        <f t="shared" ref="J31:J62" si="1">UPPER(D31) &amp; "|" &amp; IF(F31="","",IF(MOD(F31,1)=0,TEXT(F31,"0"),TEXT(F31,"0.################"))) &amp; "|" &amp; TEXT(G31,"yyyy-mm-dd") &amp; "|" &amp; IF(K31="", "CALL", UPPER(K31)) &amp; "|" &amp; IF(C31="", "OPEN", UPPER(C31))</f>
        <v>NVDA|165|2025-11-28|CALL|OPEN</v>
      </c>
      <c r="K31" t="s">
        <v>14</v>
      </c>
    </row>
    <row r="32" spans="1:11" x14ac:dyDescent="0.25">
      <c r="A32" t="s">
        <v>11</v>
      </c>
      <c r="B32" s="1">
        <v>45987.361805555563</v>
      </c>
      <c r="C32" t="s">
        <v>15</v>
      </c>
      <c r="D32" t="s">
        <v>13</v>
      </c>
      <c r="E32">
        <v>2</v>
      </c>
      <c r="F32">
        <v>165</v>
      </c>
      <c r="G32" s="1">
        <v>45989</v>
      </c>
      <c r="H32">
        <v>16.16</v>
      </c>
      <c r="I32">
        <v>180.96</v>
      </c>
      <c r="J32" t="str">
        <f t="shared" si="1"/>
        <v>NVDA|165|2025-11-28|CALL|CLOSE</v>
      </c>
      <c r="K32" t="s">
        <v>14</v>
      </c>
    </row>
    <row r="33" spans="1:11" x14ac:dyDescent="0.25">
      <c r="A33" t="s">
        <v>11</v>
      </c>
      <c r="B33" s="1">
        <v>45987.361805555563</v>
      </c>
      <c r="C33" t="s">
        <v>12</v>
      </c>
      <c r="D33" t="s">
        <v>13</v>
      </c>
      <c r="E33">
        <v>2</v>
      </c>
      <c r="F33">
        <v>167.5</v>
      </c>
      <c r="G33" s="1">
        <v>45996</v>
      </c>
      <c r="H33">
        <v>14.86</v>
      </c>
      <c r="I33">
        <v>180.96</v>
      </c>
      <c r="J33" t="str">
        <f t="shared" si="1"/>
        <v>NVDA|167.5|2025-12-05|CALL|OPEN</v>
      </c>
      <c r="K33" t="s">
        <v>14</v>
      </c>
    </row>
    <row r="34" spans="1:11" x14ac:dyDescent="0.25">
      <c r="A34" t="s">
        <v>11</v>
      </c>
      <c r="B34" s="1">
        <v>45995.521527777782</v>
      </c>
      <c r="C34" t="s">
        <v>15</v>
      </c>
      <c r="D34" t="s">
        <v>13</v>
      </c>
      <c r="E34">
        <v>1</v>
      </c>
      <c r="F34">
        <v>167.5</v>
      </c>
      <c r="G34" s="1">
        <v>45996</v>
      </c>
      <c r="H34">
        <v>16.29</v>
      </c>
      <c r="I34">
        <v>183.73</v>
      </c>
      <c r="J34" t="str">
        <f t="shared" si="1"/>
        <v>NVDA|167.5|2025-12-05|CALL|CLOSE</v>
      </c>
      <c r="K34" t="s">
        <v>14</v>
      </c>
    </row>
    <row r="35" spans="1:11" x14ac:dyDescent="0.25">
      <c r="A35" t="s">
        <v>11</v>
      </c>
      <c r="B35" s="1">
        <v>45995.525694444441</v>
      </c>
      <c r="C35" t="s">
        <v>15</v>
      </c>
      <c r="D35" t="s">
        <v>13</v>
      </c>
      <c r="E35">
        <v>1</v>
      </c>
      <c r="F35">
        <v>167.5</v>
      </c>
      <c r="G35" s="1">
        <v>45996</v>
      </c>
      <c r="H35">
        <v>16.149999999999999</v>
      </c>
      <c r="I35">
        <v>183.42</v>
      </c>
      <c r="J35" t="str">
        <f t="shared" si="1"/>
        <v>NVDA|167.5|2025-12-05|CALL|CLOSE</v>
      </c>
      <c r="K35" t="s">
        <v>14</v>
      </c>
    </row>
    <row r="36" spans="1:11" x14ac:dyDescent="0.25">
      <c r="A36" t="s">
        <v>11</v>
      </c>
      <c r="B36" s="1">
        <v>45995.525000000001</v>
      </c>
      <c r="C36" t="s">
        <v>12</v>
      </c>
      <c r="D36" t="s">
        <v>13</v>
      </c>
      <c r="E36">
        <v>1</v>
      </c>
      <c r="F36">
        <v>190</v>
      </c>
      <c r="G36" s="1">
        <v>46003</v>
      </c>
      <c r="H36">
        <v>8.02</v>
      </c>
      <c r="I36">
        <v>183.59</v>
      </c>
      <c r="J36" t="str">
        <f t="shared" si="1"/>
        <v>NVDA|190|2025-12-12|PUT|OPEN</v>
      </c>
      <c r="K36" t="s">
        <v>34</v>
      </c>
    </row>
    <row r="37" spans="1:11" x14ac:dyDescent="0.25">
      <c r="A37" t="s">
        <v>11</v>
      </c>
      <c r="B37" s="1">
        <v>45995.525694444441</v>
      </c>
      <c r="C37" t="s">
        <v>12</v>
      </c>
      <c r="D37" t="s">
        <v>13</v>
      </c>
      <c r="E37">
        <v>1</v>
      </c>
      <c r="F37">
        <v>177.5</v>
      </c>
      <c r="G37" s="1">
        <v>46003</v>
      </c>
      <c r="H37">
        <v>8.2799999999999994</v>
      </c>
      <c r="I37">
        <v>183.42</v>
      </c>
      <c r="J37" t="str">
        <f t="shared" si="1"/>
        <v>NVDA|177.5|2025-12-12|CALL|OPEN</v>
      </c>
      <c r="K37" t="s">
        <v>14</v>
      </c>
    </row>
    <row r="38" spans="1:11" x14ac:dyDescent="0.25">
      <c r="A38" t="s">
        <v>11</v>
      </c>
      <c r="B38" s="1">
        <v>45996.452777777777</v>
      </c>
      <c r="C38" t="s">
        <v>12</v>
      </c>
      <c r="D38" t="s">
        <v>13</v>
      </c>
      <c r="E38">
        <v>1</v>
      </c>
      <c r="F38">
        <v>180</v>
      </c>
      <c r="G38" s="1">
        <v>46003</v>
      </c>
      <c r="H38">
        <v>2.89</v>
      </c>
      <c r="I38">
        <v>182.19</v>
      </c>
      <c r="J38" t="str">
        <f t="shared" si="1"/>
        <v>NVDA|180|2025-12-12|PUT|OPEN</v>
      </c>
      <c r="K38" t="s">
        <v>34</v>
      </c>
    </row>
    <row r="39" spans="1:11" x14ac:dyDescent="0.25">
      <c r="A39" t="s">
        <v>11</v>
      </c>
      <c r="B39" s="1">
        <v>45996.452777777777</v>
      </c>
      <c r="C39" t="s">
        <v>15</v>
      </c>
      <c r="D39" t="s">
        <v>13</v>
      </c>
      <c r="E39">
        <v>1</v>
      </c>
      <c r="F39">
        <v>190</v>
      </c>
      <c r="G39" s="1">
        <v>46003</v>
      </c>
      <c r="H39">
        <v>8.8000000000000007</v>
      </c>
      <c r="I39">
        <v>182.19</v>
      </c>
      <c r="J39" t="str">
        <f t="shared" si="1"/>
        <v>NVDA|190|2025-12-12|PUT|CLOSE</v>
      </c>
      <c r="K39" t="s">
        <v>34</v>
      </c>
    </row>
    <row r="40" spans="1:11" x14ac:dyDescent="0.25">
      <c r="A40" t="s">
        <v>11</v>
      </c>
      <c r="B40" s="1">
        <v>45996.454861111109</v>
      </c>
      <c r="C40" t="s">
        <v>12</v>
      </c>
      <c r="D40" t="s">
        <v>13</v>
      </c>
      <c r="E40">
        <v>1</v>
      </c>
      <c r="F40">
        <v>185</v>
      </c>
      <c r="G40" s="1">
        <v>46003</v>
      </c>
      <c r="H40">
        <v>2.69</v>
      </c>
      <c r="I40">
        <v>182.3</v>
      </c>
      <c r="J40" t="str">
        <f t="shared" si="1"/>
        <v>NVDA|185|2025-12-12|CALL|OPEN</v>
      </c>
      <c r="K40" t="s">
        <v>14</v>
      </c>
    </row>
    <row r="41" spans="1:11" x14ac:dyDescent="0.25">
      <c r="A41" t="s">
        <v>11</v>
      </c>
      <c r="B41" s="1">
        <v>45996.454861111109</v>
      </c>
      <c r="C41" t="s">
        <v>15</v>
      </c>
      <c r="D41" t="s">
        <v>13</v>
      </c>
      <c r="E41">
        <v>1</v>
      </c>
      <c r="F41">
        <v>177.5</v>
      </c>
      <c r="G41" s="1">
        <v>46003</v>
      </c>
      <c r="H41">
        <v>7.03</v>
      </c>
      <c r="I41">
        <v>182.3</v>
      </c>
      <c r="J41" t="str">
        <f t="shared" si="1"/>
        <v>NVDA|177.5|2025-12-12|CALL|CLOSE</v>
      </c>
      <c r="K41" t="s">
        <v>14</v>
      </c>
    </row>
    <row r="42" spans="1:11" x14ac:dyDescent="0.25">
      <c r="A42" t="s">
        <v>11</v>
      </c>
      <c r="B42" s="1">
        <v>46000.418055555558</v>
      </c>
      <c r="C42" t="s">
        <v>12</v>
      </c>
      <c r="D42" t="s">
        <v>13</v>
      </c>
      <c r="E42">
        <v>1</v>
      </c>
      <c r="F42">
        <v>187.5</v>
      </c>
      <c r="G42" s="1">
        <v>46003</v>
      </c>
      <c r="H42">
        <v>2.27</v>
      </c>
      <c r="I42">
        <v>185.55</v>
      </c>
      <c r="J42" t="str">
        <f t="shared" si="1"/>
        <v>NVDA|187.5|2025-12-12|CALL|OPEN</v>
      </c>
      <c r="K42" t="s">
        <v>14</v>
      </c>
    </row>
    <row r="43" spans="1:11" x14ac:dyDescent="0.25">
      <c r="A43" t="s">
        <v>11</v>
      </c>
      <c r="B43" s="1">
        <v>46000.418055555558</v>
      </c>
      <c r="C43" t="s">
        <v>12</v>
      </c>
      <c r="D43" t="s">
        <v>13</v>
      </c>
      <c r="E43">
        <v>1</v>
      </c>
      <c r="F43">
        <v>185</v>
      </c>
      <c r="G43" s="1">
        <v>46003</v>
      </c>
      <c r="H43">
        <v>2.86</v>
      </c>
      <c r="I43">
        <v>185.55</v>
      </c>
      <c r="J43" t="str">
        <f t="shared" si="1"/>
        <v>NVDA|185|2025-12-12|PUT|OPEN</v>
      </c>
      <c r="K43" t="s">
        <v>34</v>
      </c>
    </row>
    <row r="44" spans="1:11" x14ac:dyDescent="0.25">
      <c r="A44" t="s">
        <v>11</v>
      </c>
      <c r="B44" s="1">
        <v>46000.418055555558</v>
      </c>
      <c r="C44" t="s">
        <v>15</v>
      </c>
      <c r="D44" t="s">
        <v>13</v>
      </c>
      <c r="E44">
        <v>1</v>
      </c>
      <c r="F44">
        <v>185</v>
      </c>
      <c r="G44" s="1">
        <v>46003</v>
      </c>
      <c r="H44">
        <v>3.5</v>
      </c>
      <c r="I44">
        <v>185.55</v>
      </c>
      <c r="J44" t="str">
        <f t="shared" si="1"/>
        <v>NVDA|185|2025-12-12|PUT|CLOSE</v>
      </c>
      <c r="K44" t="s">
        <v>34</v>
      </c>
    </row>
    <row r="45" spans="1:11" x14ac:dyDescent="0.25">
      <c r="A45" t="s">
        <v>11</v>
      </c>
      <c r="B45" s="1">
        <v>46000.418055555558</v>
      </c>
      <c r="C45" t="s">
        <v>15</v>
      </c>
      <c r="D45" t="s">
        <v>13</v>
      </c>
      <c r="E45">
        <v>1</v>
      </c>
      <c r="F45">
        <v>180</v>
      </c>
      <c r="G45" s="1">
        <v>46003</v>
      </c>
      <c r="H45">
        <v>1.2</v>
      </c>
      <c r="I45">
        <v>185.55</v>
      </c>
      <c r="J45" t="str">
        <f t="shared" si="1"/>
        <v>NVDA|180|2025-12-12|PUT|CLOSE</v>
      </c>
      <c r="K45" t="s">
        <v>34</v>
      </c>
    </row>
    <row r="46" spans="1:11" x14ac:dyDescent="0.25">
      <c r="A46" t="s">
        <v>11</v>
      </c>
      <c r="B46" s="1">
        <v>46001.373611111107</v>
      </c>
      <c r="C46" t="s">
        <v>12</v>
      </c>
      <c r="D46" t="s">
        <v>13</v>
      </c>
      <c r="E46">
        <v>1</v>
      </c>
      <c r="F46">
        <v>185</v>
      </c>
      <c r="G46" s="1">
        <v>46003</v>
      </c>
      <c r="H46">
        <v>2.29</v>
      </c>
      <c r="I46">
        <v>184.08</v>
      </c>
      <c r="J46" t="str">
        <f t="shared" si="1"/>
        <v>NVDA|185|2025-12-12|PUT|OPEN</v>
      </c>
      <c r="K46" t="s">
        <v>34</v>
      </c>
    </row>
    <row r="47" spans="1:11" x14ac:dyDescent="0.25">
      <c r="A47" t="s">
        <v>11</v>
      </c>
      <c r="B47" s="1">
        <v>46001.373611111107</v>
      </c>
      <c r="C47" t="s">
        <v>15</v>
      </c>
      <c r="D47" t="s">
        <v>13</v>
      </c>
      <c r="E47">
        <v>1</v>
      </c>
      <c r="F47">
        <v>187.5</v>
      </c>
      <c r="G47" s="1">
        <v>46003</v>
      </c>
      <c r="H47">
        <v>1.32</v>
      </c>
      <c r="I47">
        <v>184.08</v>
      </c>
      <c r="J47" t="str">
        <f t="shared" si="1"/>
        <v>NVDA|187.5|2025-12-12|CALL|CLOSE</v>
      </c>
      <c r="K47" t="s">
        <v>14</v>
      </c>
    </row>
    <row r="48" spans="1:11" x14ac:dyDescent="0.25">
      <c r="A48" t="s">
        <v>11</v>
      </c>
      <c r="B48" s="1">
        <v>46001.407638888893</v>
      </c>
      <c r="C48" t="s">
        <v>15</v>
      </c>
      <c r="D48" t="s">
        <v>13</v>
      </c>
      <c r="E48">
        <v>1</v>
      </c>
      <c r="F48">
        <v>185</v>
      </c>
      <c r="G48" s="1">
        <v>46003</v>
      </c>
      <c r="H48">
        <v>3.83</v>
      </c>
      <c r="I48">
        <v>183.04</v>
      </c>
      <c r="J48" t="str">
        <f t="shared" si="1"/>
        <v>NVDA|185|2025-12-12|PUT|CLOSE</v>
      </c>
      <c r="K48" t="s">
        <v>34</v>
      </c>
    </row>
    <row r="49" spans="1:11" x14ac:dyDescent="0.25">
      <c r="A49" t="s">
        <v>11</v>
      </c>
      <c r="B49" s="1">
        <v>46001.409722222219</v>
      </c>
      <c r="C49" t="s">
        <v>15</v>
      </c>
      <c r="D49" t="s">
        <v>13</v>
      </c>
      <c r="E49">
        <v>1</v>
      </c>
      <c r="F49">
        <v>190</v>
      </c>
      <c r="G49" s="1">
        <v>46003</v>
      </c>
      <c r="H49">
        <v>7.25</v>
      </c>
      <c r="I49">
        <v>183.31</v>
      </c>
      <c r="J49" t="str">
        <f t="shared" si="1"/>
        <v>NVDA|190|2025-12-12|CALL|CLOSE</v>
      </c>
      <c r="K49" t="s">
        <v>14</v>
      </c>
    </row>
    <row r="50" spans="1:11" x14ac:dyDescent="0.25">
      <c r="A50" t="s">
        <v>11</v>
      </c>
      <c r="B50" s="1">
        <v>46002.364583333343</v>
      </c>
      <c r="C50" t="s">
        <v>15</v>
      </c>
      <c r="D50" t="s">
        <v>13</v>
      </c>
      <c r="E50">
        <v>1</v>
      </c>
      <c r="F50">
        <v>185</v>
      </c>
      <c r="G50" s="1">
        <v>46003</v>
      </c>
      <c r="H50">
        <v>0.28000000000000003</v>
      </c>
      <c r="I50">
        <v>178.34</v>
      </c>
      <c r="J50" t="str">
        <f t="shared" si="1"/>
        <v>NVDA|185|2025-12-12|CALL|CLOSE</v>
      </c>
      <c r="K50" t="s">
        <v>14</v>
      </c>
    </row>
    <row r="51" spans="1:11" x14ac:dyDescent="0.25">
      <c r="A51" t="s">
        <v>11</v>
      </c>
      <c r="B51" s="1">
        <v>45995.521527777782</v>
      </c>
      <c r="C51" t="s">
        <v>12</v>
      </c>
      <c r="D51" t="s">
        <v>13</v>
      </c>
      <c r="E51">
        <v>1</v>
      </c>
      <c r="F51">
        <v>190</v>
      </c>
      <c r="G51" s="1">
        <v>46003</v>
      </c>
      <c r="H51">
        <v>7.92</v>
      </c>
      <c r="I51">
        <v>183.73</v>
      </c>
      <c r="J51" t="str">
        <f t="shared" si="1"/>
        <v>NVDA|190|2025-12-12|CALL|OPEN</v>
      </c>
      <c r="K51" t="s">
        <v>14</v>
      </c>
    </row>
    <row r="52" spans="1:11" x14ac:dyDescent="0.25">
      <c r="A52" t="s">
        <v>11</v>
      </c>
      <c r="B52" s="1">
        <v>45995.521527777782</v>
      </c>
      <c r="C52" t="s">
        <v>12</v>
      </c>
      <c r="D52" t="s">
        <v>13</v>
      </c>
      <c r="E52">
        <v>1</v>
      </c>
      <c r="F52">
        <v>177.5</v>
      </c>
      <c r="G52" s="1">
        <v>46003</v>
      </c>
      <c r="H52">
        <v>8.41</v>
      </c>
      <c r="I52">
        <v>183.73</v>
      </c>
      <c r="J52" t="str">
        <f t="shared" si="1"/>
        <v>NVDA|177.5|2025-12-12|CALL|OPEN</v>
      </c>
      <c r="K52" t="s">
        <v>14</v>
      </c>
    </row>
    <row r="53" spans="1:11" x14ac:dyDescent="0.25">
      <c r="A53" t="s">
        <v>11</v>
      </c>
      <c r="B53" s="1">
        <v>46003.359722222223</v>
      </c>
      <c r="C53" t="s">
        <v>15</v>
      </c>
      <c r="D53" t="s">
        <v>13</v>
      </c>
      <c r="E53">
        <v>1</v>
      </c>
      <c r="F53">
        <v>177.5</v>
      </c>
      <c r="G53" s="1">
        <v>46003</v>
      </c>
      <c r="H53">
        <v>4.75</v>
      </c>
      <c r="I53">
        <v>182.23</v>
      </c>
      <c r="J53" t="str">
        <f t="shared" si="1"/>
        <v>NVDA|177.5|2025-12-12|CALL|CLOSE</v>
      </c>
      <c r="K53" t="s">
        <v>14</v>
      </c>
    </row>
    <row r="54" spans="1:11" x14ac:dyDescent="0.25">
      <c r="A54" t="s">
        <v>11</v>
      </c>
      <c r="B54" s="1">
        <v>46002.368750000001</v>
      </c>
      <c r="C54" t="s">
        <v>12</v>
      </c>
      <c r="D54" t="s">
        <v>13</v>
      </c>
      <c r="E54">
        <v>1</v>
      </c>
      <c r="F54">
        <v>182.5</v>
      </c>
      <c r="G54" s="1">
        <v>46010</v>
      </c>
      <c r="H54">
        <v>7.16</v>
      </c>
      <c r="I54">
        <v>177.7</v>
      </c>
      <c r="J54" t="str">
        <f t="shared" si="1"/>
        <v>NVDA|182.5|2025-12-19|CALL|OPEN</v>
      </c>
      <c r="K54" t="s">
        <v>14</v>
      </c>
    </row>
    <row r="55" spans="1:11" x14ac:dyDescent="0.25">
      <c r="A55" t="s">
        <v>11</v>
      </c>
      <c r="B55" s="1">
        <v>46002.364583333343</v>
      </c>
      <c r="C55" t="s">
        <v>12</v>
      </c>
      <c r="D55" t="s">
        <v>13</v>
      </c>
      <c r="E55">
        <v>1</v>
      </c>
      <c r="F55">
        <v>177</v>
      </c>
      <c r="G55" s="1">
        <v>46010</v>
      </c>
      <c r="H55">
        <v>5.16</v>
      </c>
      <c r="I55">
        <v>178.34</v>
      </c>
      <c r="J55" t="str">
        <f t="shared" si="1"/>
        <v>NVDA|177|2025-12-19|CALL|OPEN</v>
      </c>
      <c r="K55" t="s">
        <v>14</v>
      </c>
    </row>
    <row r="56" spans="1:11" x14ac:dyDescent="0.25">
      <c r="A56" t="s">
        <v>11</v>
      </c>
      <c r="B56" s="1">
        <v>46001.407638888893</v>
      </c>
      <c r="C56" t="s">
        <v>12</v>
      </c>
      <c r="D56" t="s">
        <v>13</v>
      </c>
      <c r="E56">
        <v>1</v>
      </c>
      <c r="F56">
        <v>181</v>
      </c>
      <c r="G56" s="1">
        <v>46010</v>
      </c>
      <c r="H56">
        <v>3.85</v>
      </c>
      <c r="I56">
        <v>183.04</v>
      </c>
      <c r="J56" t="str">
        <f t="shared" si="1"/>
        <v>NVDA|181|2025-12-19|PUT|OPEN</v>
      </c>
      <c r="K56" t="s">
        <v>34</v>
      </c>
    </row>
    <row r="57" spans="1:11" x14ac:dyDescent="0.25">
      <c r="A57" t="s">
        <v>11</v>
      </c>
      <c r="B57" s="1">
        <v>46001.409722222219</v>
      </c>
      <c r="C57" t="s">
        <v>12</v>
      </c>
      <c r="D57" t="s">
        <v>13</v>
      </c>
      <c r="E57">
        <v>1</v>
      </c>
      <c r="F57">
        <v>187.5</v>
      </c>
      <c r="G57" s="1">
        <v>46010</v>
      </c>
      <c r="H57">
        <v>7.01</v>
      </c>
      <c r="I57">
        <v>183.31</v>
      </c>
      <c r="J57" t="str">
        <f t="shared" si="1"/>
        <v>NVDA|187.5|2025-12-19|PUT|OPEN</v>
      </c>
      <c r="K57" t="s">
        <v>34</v>
      </c>
    </row>
    <row r="58" spans="1:11" x14ac:dyDescent="0.25">
      <c r="A58" t="s">
        <v>11</v>
      </c>
      <c r="B58" s="1">
        <v>46002.368750000001</v>
      </c>
      <c r="C58" t="s">
        <v>15</v>
      </c>
      <c r="D58" t="s">
        <v>13</v>
      </c>
      <c r="E58">
        <v>1</v>
      </c>
      <c r="F58">
        <v>187.5</v>
      </c>
      <c r="G58" s="1">
        <v>46010</v>
      </c>
      <c r="H58">
        <v>10.91</v>
      </c>
      <c r="I58">
        <v>177.7</v>
      </c>
      <c r="J58" t="str">
        <f t="shared" si="1"/>
        <v>NVDA|187.5|2025-12-19|PUT|CLOSE</v>
      </c>
      <c r="K58" t="s">
        <v>34</v>
      </c>
    </row>
    <row r="59" spans="1:11" x14ac:dyDescent="0.25">
      <c r="A59" t="s">
        <v>11</v>
      </c>
      <c r="B59" s="1">
        <v>46003.359722222223</v>
      </c>
      <c r="C59" t="s">
        <v>12</v>
      </c>
      <c r="D59" t="s">
        <v>13</v>
      </c>
      <c r="E59">
        <v>1</v>
      </c>
      <c r="F59">
        <v>184</v>
      </c>
      <c r="G59" s="1">
        <v>46010</v>
      </c>
      <c r="H59">
        <v>2.79</v>
      </c>
      <c r="I59">
        <v>182.23</v>
      </c>
      <c r="J59" t="str">
        <f t="shared" si="1"/>
        <v>NVDA|184|2025-12-19|CALL|OPEN</v>
      </c>
      <c r="K59" t="s">
        <v>14</v>
      </c>
    </row>
    <row r="60" spans="1:11" x14ac:dyDescent="0.25">
      <c r="A60" t="s">
        <v>11</v>
      </c>
      <c r="B60" s="1">
        <v>46003.361805555563</v>
      </c>
      <c r="C60" t="s">
        <v>15</v>
      </c>
      <c r="D60" t="s">
        <v>13</v>
      </c>
      <c r="E60">
        <v>1</v>
      </c>
      <c r="F60">
        <v>177</v>
      </c>
      <c r="G60" s="1">
        <v>46010</v>
      </c>
      <c r="H60">
        <v>7.15</v>
      </c>
      <c r="I60">
        <v>182.17</v>
      </c>
      <c r="J60" t="str">
        <f t="shared" si="1"/>
        <v>NVDA|177|2025-12-19|CALL|CLOSE</v>
      </c>
      <c r="K60" t="s">
        <v>14</v>
      </c>
    </row>
    <row r="61" spans="1:11" x14ac:dyDescent="0.25">
      <c r="A61" t="s">
        <v>11</v>
      </c>
      <c r="B61" s="1">
        <v>46003.361805555563</v>
      </c>
      <c r="C61" t="s">
        <v>12</v>
      </c>
      <c r="D61" t="s">
        <v>13</v>
      </c>
      <c r="E61">
        <v>1</v>
      </c>
      <c r="F61">
        <v>179</v>
      </c>
      <c r="G61" s="1">
        <v>46010</v>
      </c>
      <c r="H61">
        <v>5.72</v>
      </c>
      <c r="I61">
        <v>182.17</v>
      </c>
      <c r="J61" t="str">
        <f t="shared" si="1"/>
        <v>NVDA|179|2025-12-19|CALL|OPEN</v>
      </c>
      <c r="K61" t="s">
        <v>14</v>
      </c>
    </row>
    <row r="62" spans="1:11" x14ac:dyDescent="0.25">
      <c r="A62" t="s">
        <v>11</v>
      </c>
      <c r="B62" s="1">
        <v>46006.354861111111</v>
      </c>
      <c r="C62" t="s">
        <v>15</v>
      </c>
      <c r="D62" t="s">
        <v>13</v>
      </c>
      <c r="E62">
        <v>1</v>
      </c>
      <c r="F62">
        <v>179</v>
      </c>
      <c r="G62" s="1">
        <v>46010</v>
      </c>
      <c r="H62">
        <v>2.77</v>
      </c>
      <c r="I62">
        <v>177.51</v>
      </c>
      <c r="J62" t="str">
        <f t="shared" si="1"/>
        <v>NVDA|179|2025-12-19|CALL|CLOSE</v>
      </c>
      <c r="K62" t="s">
        <v>14</v>
      </c>
    </row>
    <row r="63" spans="1:11" x14ac:dyDescent="0.25">
      <c r="A63" t="s">
        <v>11</v>
      </c>
      <c r="B63" s="1">
        <v>46006.354861111111</v>
      </c>
      <c r="C63" t="s">
        <v>12</v>
      </c>
      <c r="D63" t="s">
        <v>13</v>
      </c>
      <c r="E63">
        <v>1</v>
      </c>
      <c r="F63">
        <v>175</v>
      </c>
      <c r="G63" s="1">
        <v>46010</v>
      </c>
      <c r="H63">
        <v>5.01</v>
      </c>
      <c r="I63">
        <v>177.51</v>
      </c>
      <c r="J63" t="str">
        <f t="shared" ref="J63:J90" si="2">UPPER(D63) &amp; "|" &amp; IF(F63="","",IF(MOD(F63,1)=0,TEXT(F63,"0"),TEXT(F63,"0.################"))) &amp; "|" &amp; TEXT(G63,"yyyy-mm-dd") &amp; "|" &amp; IF(K63="", "CALL", UPPER(K63)) &amp; "|" &amp; IF(C63="", "OPEN", UPPER(C63))</f>
        <v>NVDA|175|2025-12-19|CALL|OPEN</v>
      </c>
      <c r="K63" t="s">
        <v>14</v>
      </c>
    </row>
    <row r="64" spans="1:11" x14ac:dyDescent="0.25">
      <c r="A64" t="s">
        <v>11</v>
      </c>
      <c r="B64" s="1">
        <v>46007.365972222222</v>
      </c>
      <c r="C64" t="s">
        <v>15</v>
      </c>
      <c r="D64" t="s">
        <v>13</v>
      </c>
      <c r="E64">
        <v>1</v>
      </c>
      <c r="F64">
        <v>175</v>
      </c>
      <c r="G64" s="1">
        <v>46010</v>
      </c>
      <c r="H64">
        <v>3.72</v>
      </c>
      <c r="I64">
        <v>176.18</v>
      </c>
      <c r="J64" t="str">
        <f t="shared" si="2"/>
        <v>NVDA|175|2025-12-19|CALL|CLOSE</v>
      </c>
      <c r="K64" t="s">
        <v>14</v>
      </c>
    </row>
    <row r="65" spans="1:11" x14ac:dyDescent="0.25">
      <c r="A65" t="s">
        <v>11</v>
      </c>
      <c r="B65" s="1">
        <v>46007.365972222222</v>
      </c>
      <c r="C65" t="s">
        <v>12</v>
      </c>
      <c r="D65" t="s">
        <v>13</v>
      </c>
      <c r="E65">
        <v>1</v>
      </c>
      <c r="F65">
        <v>173</v>
      </c>
      <c r="G65" s="1">
        <v>46010</v>
      </c>
      <c r="H65">
        <v>5.03</v>
      </c>
      <c r="I65">
        <v>176.18</v>
      </c>
      <c r="J65" t="str">
        <f t="shared" si="2"/>
        <v>NVDA|173|2025-12-19|CALL|OPEN</v>
      </c>
      <c r="K65" t="s">
        <v>14</v>
      </c>
    </row>
    <row r="66" spans="1:11" x14ac:dyDescent="0.25">
      <c r="A66" t="s">
        <v>11</v>
      </c>
      <c r="B66" s="1">
        <v>46008.40902777778</v>
      </c>
      <c r="C66" t="s">
        <v>12</v>
      </c>
      <c r="D66" t="s">
        <v>13</v>
      </c>
      <c r="E66">
        <v>1</v>
      </c>
      <c r="F66">
        <v>169</v>
      </c>
      <c r="G66" s="1">
        <v>46010</v>
      </c>
      <c r="H66">
        <v>4.8499999999999996</v>
      </c>
      <c r="I66">
        <v>172.64</v>
      </c>
      <c r="J66" t="str">
        <f t="shared" si="2"/>
        <v>NVDA|169|2025-12-19|CALL|OPEN</v>
      </c>
      <c r="K66" t="s">
        <v>14</v>
      </c>
    </row>
    <row r="67" spans="1:11" x14ac:dyDescent="0.25">
      <c r="A67" t="s">
        <v>11</v>
      </c>
      <c r="B67" s="1">
        <v>46003.400694444441</v>
      </c>
      <c r="C67" t="s">
        <v>15</v>
      </c>
      <c r="D67" t="s">
        <v>13</v>
      </c>
      <c r="E67">
        <v>1</v>
      </c>
      <c r="F67">
        <v>184</v>
      </c>
      <c r="G67" s="1">
        <v>46010</v>
      </c>
      <c r="H67">
        <v>1.8</v>
      </c>
      <c r="I67">
        <v>179.45</v>
      </c>
      <c r="J67" t="str">
        <f t="shared" si="2"/>
        <v>NVDA|184|2025-12-19|CALL|CLOSE</v>
      </c>
      <c r="K67" t="s">
        <v>14</v>
      </c>
    </row>
    <row r="68" spans="1:11" x14ac:dyDescent="0.25">
      <c r="A68" t="s">
        <v>11</v>
      </c>
      <c r="B68" s="1">
        <v>46003.400694444441</v>
      </c>
      <c r="C68" t="s">
        <v>12</v>
      </c>
      <c r="D68" t="s">
        <v>13</v>
      </c>
      <c r="E68">
        <v>1</v>
      </c>
      <c r="F68">
        <v>182</v>
      </c>
      <c r="G68" s="1">
        <v>46010</v>
      </c>
      <c r="H68">
        <v>2.5299999999999998</v>
      </c>
      <c r="I68">
        <v>179.45</v>
      </c>
      <c r="J68" t="str">
        <f t="shared" si="2"/>
        <v>NVDA|182|2025-12-19|PUT|OPEN</v>
      </c>
      <c r="K68" t="s">
        <v>34</v>
      </c>
    </row>
    <row r="69" spans="1:11" x14ac:dyDescent="0.25">
      <c r="A69" t="s">
        <v>11</v>
      </c>
      <c r="B69" s="1">
        <v>46006.355555555558</v>
      </c>
      <c r="C69" t="s">
        <v>15</v>
      </c>
      <c r="D69" t="s">
        <v>13</v>
      </c>
      <c r="E69">
        <v>1</v>
      </c>
      <c r="F69">
        <v>182</v>
      </c>
      <c r="G69" s="1">
        <v>46010</v>
      </c>
      <c r="H69">
        <v>1.56</v>
      </c>
      <c r="I69">
        <v>177.69</v>
      </c>
      <c r="J69" t="str">
        <f t="shared" si="2"/>
        <v>NVDA|182|2025-12-19|PUT|CLOSE</v>
      </c>
      <c r="K69" t="s">
        <v>34</v>
      </c>
    </row>
    <row r="70" spans="1:11" x14ac:dyDescent="0.25">
      <c r="A70" t="s">
        <v>11</v>
      </c>
      <c r="B70" s="1">
        <v>46006.355555555558</v>
      </c>
      <c r="C70" t="s">
        <v>12</v>
      </c>
      <c r="D70" t="s">
        <v>13</v>
      </c>
      <c r="E70">
        <v>1</v>
      </c>
      <c r="F70">
        <v>175</v>
      </c>
      <c r="G70" s="1">
        <v>46010</v>
      </c>
      <c r="H70">
        <v>4.9800000000000004</v>
      </c>
      <c r="I70">
        <v>177.69</v>
      </c>
      <c r="J70" t="str">
        <f t="shared" si="2"/>
        <v>NVDA|175|2025-12-19|PUT|OPEN</v>
      </c>
      <c r="K70" t="s">
        <v>34</v>
      </c>
    </row>
    <row r="71" spans="1:11" x14ac:dyDescent="0.25">
      <c r="A71" t="s">
        <v>11</v>
      </c>
      <c r="B71" s="1">
        <v>46007.365972222222</v>
      </c>
      <c r="C71" t="s">
        <v>12</v>
      </c>
      <c r="D71" t="s">
        <v>13</v>
      </c>
      <c r="E71">
        <v>1</v>
      </c>
      <c r="F71">
        <v>173</v>
      </c>
      <c r="G71" s="1">
        <v>46010</v>
      </c>
      <c r="H71">
        <v>5.03</v>
      </c>
      <c r="I71">
        <v>176.18</v>
      </c>
      <c r="J71" t="str">
        <f t="shared" si="2"/>
        <v>NVDA|173|2025-12-19|CALL|OPEN</v>
      </c>
      <c r="K71" t="s">
        <v>14</v>
      </c>
    </row>
    <row r="72" spans="1:11" x14ac:dyDescent="0.25">
      <c r="A72" t="s">
        <v>11</v>
      </c>
      <c r="B72" s="1">
        <v>46008.40902777778</v>
      </c>
      <c r="C72" t="s">
        <v>15</v>
      </c>
      <c r="D72" t="s">
        <v>13</v>
      </c>
      <c r="E72">
        <v>2</v>
      </c>
      <c r="F72">
        <v>173</v>
      </c>
      <c r="G72" s="1">
        <v>46010</v>
      </c>
      <c r="H72">
        <v>2.33</v>
      </c>
      <c r="I72">
        <v>172.64</v>
      </c>
      <c r="J72" t="str">
        <f t="shared" si="2"/>
        <v>NVDA|173|2025-12-19|CALL|CLOSE</v>
      </c>
      <c r="K72" t="s">
        <v>14</v>
      </c>
    </row>
    <row r="73" spans="1:11" x14ac:dyDescent="0.25">
      <c r="A73" t="s">
        <v>11</v>
      </c>
      <c r="B73" s="1">
        <v>46007.365972222222</v>
      </c>
      <c r="C73" t="s">
        <v>15</v>
      </c>
      <c r="D73" t="s">
        <v>13</v>
      </c>
      <c r="E73">
        <v>1</v>
      </c>
      <c r="F73">
        <v>175</v>
      </c>
      <c r="G73" s="1">
        <v>46010</v>
      </c>
      <c r="H73">
        <v>3.72</v>
      </c>
      <c r="I73">
        <v>176.18</v>
      </c>
      <c r="J73" t="str">
        <f t="shared" si="2"/>
        <v>NVDA|175|2025-12-19|PUT|CLOSE</v>
      </c>
      <c r="K73" t="s">
        <v>34</v>
      </c>
    </row>
    <row r="74" spans="1:11" x14ac:dyDescent="0.25">
      <c r="A74" t="s">
        <v>11</v>
      </c>
      <c r="B74" s="1">
        <v>46008.40902777778</v>
      </c>
      <c r="C74" t="s">
        <v>12</v>
      </c>
      <c r="D74" t="s">
        <v>13</v>
      </c>
      <c r="E74">
        <v>1</v>
      </c>
      <c r="F74">
        <v>169</v>
      </c>
      <c r="G74" s="1">
        <v>46010</v>
      </c>
      <c r="H74">
        <v>4.8499999999999996</v>
      </c>
      <c r="I74">
        <v>172.64</v>
      </c>
      <c r="J74" t="str">
        <f t="shared" si="2"/>
        <v>NVDA|169|2025-12-19|CALL|OPEN</v>
      </c>
      <c r="K74" t="s">
        <v>14</v>
      </c>
    </row>
    <row r="75" spans="1:11" x14ac:dyDescent="0.25">
      <c r="A75" t="s">
        <v>11</v>
      </c>
      <c r="B75" s="1">
        <v>46003.4</v>
      </c>
      <c r="C75" t="s">
        <v>15</v>
      </c>
      <c r="D75" t="s">
        <v>13</v>
      </c>
      <c r="E75">
        <v>1</v>
      </c>
      <c r="F75">
        <v>181</v>
      </c>
      <c r="G75" s="1">
        <v>46010</v>
      </c>
      <c r="H75">
        <v>4.37</v>
      </c>
      <c r="I75">
        <v>179.31</v>
      </c>
      <c r="J75" t="str">
        <f t="shared" si="2"/>
        <v>NVDA|181|2025-12-19|PUT|CLOSE</v>
      </c>
      <c r="K75" t="s">
        <v>34</v>
      </c>
    </row>
    <row r="76" spans="1:11" x14ac:dyDescent="0.25">
      <c r="A76" t="s">
        <v>11</v>
      </c>
      <c r="B76" s="1">
        <v>46003.4</v>
      </c>
      <c r="C76" t="s">
        <v>12</v>
      </c>
      <c r="D76" t="s">
        <v>13</v>
      </c>
      <c r="E76">
        <v>1</v>
      </c>
      <c r="F76">
        <v>178</v>
      </c>
      <c r="G76" s="1">
        <v>46010</v>
      </c>
      <c r="H76">
        <v>3</v>
      </c>
      <c r="I76">
        <v>179.31</v>
      </c>
      <c r="J76" t="str">
        <f t="shared" si="2"/>
        <v>NVDA|178|2025-12-19|PUT|OPEN</v>
      </c>
      <c r="K76" t="s">
        <v>34</v>
      </c>
    </row>
    <row r="77" spans="1:11" x14ac:dyDescent="0.25">
      <c r="A77" t="s">
        <v>11</v>
      </c>
      <c r="B77" s="1">
        <v>46006.355555555558</v>
      </c>
      <c r="C77" t="s">
        <v>15</v>
      </c>
      <c r="D77" t="s">
        <v>13</v>
      </c>
      <c r="E77">
        <v>1</v>
      </c>
      <c r="F77">
        <v>178</v>
      </c>
      <c r="G77" s="1">
        <v>46010</v>
      </c>
      <c r="H77">
        <v>3.4</v>
      </c>
      <c r="I77">
        <v>177.69</v>
      </c>
      <c r="J77" t="str">
        <f t="shared" si="2"/>
        <v>NVDA|178|2025-12-19|PUT|CLOSE</v>
      </c>
      <c r="K77" t="s">
        <v>34</v>
      </c>
    </row>
    <row r="78" spans="1:11" ht="12.75" customHeight="1" x14ac:dyDescent="0.25">
      <c r="A78" t="s">
        <v>11</v>
      </c>
      <c r="B78" s="1">
        <v>46006.355555555558</v>
      </c>
      <c r="C78" t="s">
        <v>12</v>
      </c>
      <c r="D78" t="s">
        <v>13</v>
      </c>
      <c r="E78">
        <v>1</v>
      </c>
      <c r="F78">
        <v>181</v>
      </c>
      <c r="G78" s="1">
        <v>46010</v>
      </c>
      <c r="H78">
        <v>5.05</v>
      </c>
      <c r="I78">
        <v>177.69</v>
      </c>
      <c r="J78" t="str">
        <f t="shared" si="2"/>
        <v>NVDA|181|2025-12-19|PUT|OPEN</v>
      </c>
      <c r="K78" t="s">
        <v>34</v>
      </c>
    </row>
    <row r="79" spans="1:11" x14ac:dyDescent="0.25">
      <c r="A79" t="s">
        <v>11</v>
      </c>
      <c r="B79" s="1">
        <v>46008.409722222219</v>
      </c>
      <c r="C79" t="s">
        <v>15</v>
      </c>
      <c r="D79" t="s">
        <v>13</v>
      </c>
      <c r="E79">
        <v>1</v>
      </c>
      <c r="F79">
        <v>181</v>
      </c>
      <c r="G79" s="1">
        <v>46010</v>
      </c>
      <c r="H79">
        <v>8.75</v>
      </c>
      <c r="I79">
        <v>172.46</v>
      </c>
      <c r="J79" t="str">
        <f t="shared" si="2"/>
        <v>NVDA|181|2025-12-19|PUT|CLOSE</v>
      </c>
      <c r="K79" t="s">
        <v>34</v>
      </c>
    </row>
    <row r="80" spans="1:11" x14ac:dyDescent="0.25">
      <c r="A80" t="s">
        <v>11</v>
      </c>
      <c r="B80" s="1">
        <v>46008.409722222219</v>
      </c>
      <c r="C80" t="s">
        <v>12</v>
      </c>
      <c r="D80" t="s">
        <v>13</v>
      </c>
      <c r="E80">
        <v>1</v>
      </c>
      <c r="F80">
        <v>177</v>
      </c>
      <c r="G80" s="1">
        <v>46010</v>
      </c>
      <c r="H80">
        <v>5.3</v>
      </c>
      <c r="I80">
        <v>172.46</v>
      </c>
      <c r="J80" t="str">
        <f t="shared" si="2"/>
        <v>NVDA|177|2025-12-19|PUT|OPEN</v>
      </c>
      <c r="K80" t="s">
        <v>34</v>
      </c>
    </row>
    <row r="81" spans="1:11" x14ac:dyDescent="0.25">
      <c r="A81" t="s">
        <v>11</v>
      </c>
      <c r="B81" s="1">
        <v>46003.361111111109</v>
      </c>
      <c r="C81" t="s">
        <v>15</v>
      </c>
      <c r="D81" t="s">
        <v>13</v>
      </c>
      <c r="E81">
        <v>1</v>
      </c>
      <c r="F81">
        <v>182.5</v>
      </c>
      <c r="G81" s="1">
        <v>46010</v>
      </c>
      <c r="H81">
        <v>3.63</v>
      </c>
      <c r="I81">
        <v>182.42</v>
      </c>
      <c r="J81" t="str">
        <f t="shared" si="2"/>
        <v>NVDA|182.5|2025-12-19|CALL|CLOSE</v>
      </c>
      <c r="K81" t="s">
        <v>14</v>
      </c>
    </row>
    <row r="82" spans="1:11" x14ac:dyDescent="0.25">
      <c r="A82" t="s">
        <v>11</v>
      </c>
      <c r="B82" s="1">
        <v>46003.361111111109</v>
      </c>
      <c r="C82" t="s">
        <v>12</v>
      </c>
      <c r="D82" t="s">
        <v>13</v>
      </c>
      <c r="E82">
        <v>1</v>
      </c>
      <c r="F82">
        <v>186</v>
      </c>
      <c r="G82" s="1">
        <v>46010</v>
      </c>
      <c r="H82">
        <v>5.61</v>
      </c>
      <c r="I82">
        <v>182.42</v>
      </c>
      <c r="J82" t="str">
        <f t="shared" si="2"/>
        <v>NVDA|186|2025-12-19|CALL|OPEN</v>
      </c>
      <c r="K82" t="s">
        <v>14</v>
      </c>
    </row>
    <row r="83" spans="1:11" x14ac:dyDescent="0.25">
      <c r="A83" t="s">
        <v>11</v>
      </c>
      <c r="B83" s="1">
        <v>46003.401388888888</v>
      </c>
      <c r="C83" t="s">
        <v>15</v>
      </c>
      <c r="D83" t="s">
        <v>13</v>
      </c>
      <c r="E83">
        <v>1</v>
      </c>
      <c r="F83">
        <v>186</v>
      </c>
      <c r="G83" s="1">
        <v>46010</v>
      </c>
      <c r="H83">
        <v>7.7</v>
      </c>
      <c r="I83">
        <v>179.37</v>
      </c>
      <c r="J83" t="str">
        <f t="shared" si="2"/>
        <v>NVDA|186|2025-12-19|CALL|CLOSE</v>
      </c>
      <c r="K83" t="s">
        <v>14</v>
      </c>
    </row>
    <row r="84" spans="1:11" x14ac:dyDescent="0.25">
      <c r="A84" t="s">
        <v>11</v>
      </c>
      <c r="B84" s="1">
        <v>46003.401388888888</v>
      </c>
      <c r="C84" t="s">
        <v>12</v>
      </c>
      <c r="D84" t="s">
        <v>13</v>
      </c>
      <c r="E84">
        <v>1</v>
      </c>
      <c r="F84">
        <v>183</v>
      </c>
      <c r="G84" s="1">
        <v>46010</v>
      </c>
      <c r="H84">
        <v>5.5</v>
      </c>
      <c r="I84">
        <v>179.37</v>
      </c>
      <c r="J84" t="str">
        <f t="shared" si="2"/>
        <v>NVDA|183|2025-12-19|PUT|OPEN</v>
      </c>
      <c r="K84" t="s">
        <v>34</v>
      </c>
    </row>
    <row r="85" spans="1:11" x14ac:dyDescent="0.25">
      <c r="A85" t="s">
        <v>11</v>
      </c>
      <c r="B85" s="1">
        <v>46006.356249999997</v>
      </c>
      <c r="C85" t="s">
        <v>15</v>
      </c>
      <c r="D85" t="s">
        <v>13</v>
      </c>
      <c r="E85">
        <v>1</v>
      </c>
      <c r="F85">
        <v>183</v>
      </c>
      <c r="G85" s="1">
        <v>46010</v>
      </c>
      <c r="H85">
        <v>6.51</v>
      </c>
      <c r="I85">
        <v>177.53</v>
      </c>
      <c r="J85" t="str">
        <f t="shared" si="2"/>
        <v>NVDA|183|2025-12-19|PUT|CLOSE</v>
      </c>
      <c r="K85" t="s">
        <v>34</v>
      </c>
    </row>
    <row r="86" spans="1:11" x14ac:dyDescent="0.25">
      <c r="A86" t="s">
        <v>11</v>
      </c>
      <c r="B86" s="1">
        <v>46006.356249999997</v>
      </c>
      <c r="C86" t="s">
        <v>12</v>
      </c>
      <c r="D86" t="s">
        <v>13</v>
      </c>
      <c r="E86">
        <v>1</v>
      </c>
      <c r="F86">
        <v>181</v>
      </c>
      <c r="G86" s="1">
        <v>46010</v>
      </c>
      <c r="H86">
        <v>5.1100000000000003</v>
      </c>
      <c r="I86">
        <v>177.53</v>
      </c>
      <c r="J86" t="str">
        <f t="shared" si="2"/>
        <v>NVDA|181|2025-12-19|PUT|OPEN</v>
      </c>
      <c r="K86" t="s">
        <v>34</v>
      </c>
    </row>
    <row r="87" spans="1:11" x14ac:dyDescent="0.25">
      <c r="A87" t="s">
        <v>11</v>
      </c>
      <c r="B87" s="1">
        <v>46008.409722222219</v>
      </c>
      <c r="C87" t="s">
        <v>15</v>
      </c>
      <c r="D87" t="s">
        <v>13</v>
      </c>
      <c r="E87">
        <v>1</v>
      </c>
      <c r="F87">
        <v>181</v>
      </c>
      <c r="G87" s="1">
        <v>46010</v>
      </c>
      <c r="H87">
        <v>8.75</v>
      </c>
      <c r="I87">
        <v>172.46</v>
      </c>
      <c r="J87" t="str">
        <f t="shared" si="2"/>
        <v>NVDA|181|2025-12-19|PUT|CLOSE</v>
      </c>
      <c r="K87" t="s">
        <v>34</v>
      </c>
    </row>
    <row r="88" spans="1:11" x14ac:dyDescent="0.25">
      <c r="A88" t="s">
        <v>11</v>
      </c>
      <c r="B88" s="1">
        <v>46008.409722222219</v>
      </c>
      <c r="C88" t="s">
        <v>12</v>
      </c>
      <c r="D88" t="s">
        <v>13</v>
      </c>
      <c r="E88">
        <v>1</v>
      </c>
      <c r="F88">
        <v>177</v>
      </c>
      <c r="G88" s="1">
        <v>46010</v>
      </c>
      <c r="H88">
        <v>5.3</v>
      </c>
      <c r="I88">
        <v>172.46</v>
      </c>
      <c r="J88" t="str">
        <f t="shared" si="2"/>
        <v>NVDA|177|2025-12-19|PUT|OPEN</v>
      </c>
      <c r="K88" t="s">
        <v>34</v>
      </c>
    </row>
    <row r="89" spans="1:11" x14ac:dyDescent="0.25">
      <c r="A89" t="s">
        <v>11</v>
      </c>
      <c r="B89" s="1">
        <v>46010.367361111108</v>
      </c>
      <c r="C89" t="s">
        <v>15</v>
      </c>
      <c r="D89" t="s">
        <v>13</v>
      </c>
      <c r="E89">
        <v>2</v>
      </c>
      <c r="F89">
        <v>177</v>
      </c>
      <c r="G89" s="1">
        <v>46010</v>
      </c>
      <c r="H89">
        <v>0.28000000000000003</v>
      </c>
      <c r="I89">
        <v>179.6</v>
      </c>
      <c r="J89" t="str">
        <f t="shared" si="2"/>
        <v>NVDA|177|2025-12-19|PUT|CLOSE</v>
      </c>
      <c r="K89" t="s">
        <v>34</v>
      </c>
    </row>
    <row r="90" spans="1:11" x14ac:dyDescent="0.25">
      <c r="A90" t="s">
        <v>11</v>
      </c>
      <c r="B90" s="1">
        <v>46009.40625</v>
      </c>
      <c r="C90" t="s">
        <v>15</v>
      </c>
      <c r="D90" t="s">
        <v>13</v>
      </c>
      <c r="E90">
        <v>2</v>
      </c>
      <c r="F90">
        <v>169</v>
      </c>
      <c r="G90" s="1">
        <v>46010</v>
      </c>
      <c r="H90">
        <v>6.75</v>
      </c>
      <c r="I90">
        <v>175.54</v>
      </c>
      <c r="J90" t="str">
        <f t="shared" si="2"/>
        <v>NVDA|169|2025-12-19|CALL|CLOSE</v>
      </c>
      <c r="K90" t="s">
        <v>14</v>
      </c>
    </row>
    <row r="91" spans="1:11" x14ac:dyDescent="0.25">
      <c r="A91" t="s">
        <v>11</v>
      </c>
      <c r="B91" s="1">
        <v>46010.367361111108</v>
      </c>
      <c r="C91" t="s">
        <v>12</v>
      </c>
      <c r="D91" t="s">
        <v>13</v>
      </c>
      <c r="E91">
        <v>2</v>
      </c>
      <c r="F91">
        <v>182.5</v>
      </c>
      <c r="G91" s="1">
        <v>46017</v>
      </c>
      <c r="H91">
        <v>4.5</v>
      </c>
      <c r="I91">
        <v>179.6</v>
      </c>
      <c r="J91" t="str">
        <f>UPPER(D91) &amp; "|" &amp; IF(F91="","",IF(MOD(F91,1)=0,TEXT(F91,"0"),TEXT(F91,"0.################"))) &amp; "|" &amp; TEXT(G91,"yyyy-mm-dd") &amp; "|" &amp; IF(K91="", "CALL", UPPER(K91)) &amp; "|" &amp; IF(C91="", "OPEN", UPPER(C91))</f>
        <v>NVDA|182.5|2025-12-26|PUT|OPEN</v>
      </c>
      <c r="K91" t="s">
        <v>34</v>
      </c>
    </row>
    <row r="92" spans="1:11" x14ac:dyDescent="0.25">
      <c r="A92" t="s">
        <v>11</v>
      </c>
      <c r="B92" s="1">
        <v>46009.40625</v>
      </c>
      <c r="C92" t="s">
        <v>12</v>
      </c>
      <c r="D92" t="s">
        <v>13</v>
      </c>
      <c r="E92">
        <v>2</v>
      </c>
      <c r="F92">
        <v>170</v>
      </c>
      <c r="G92" s="1">
        <v>46017</v>
      </c>
      <c r="H92">
        <v>7.06</v>
      </c>
      <c r="I92">
        <v>175.54</v>
      </c>
      <c r="J92" t="str">
        <f>UPPER(D92) &amp; "|" &amp; IF(F92="","",IF(MOD(F92,1)=0,TEXT(F92,"0"),TEXT(F92,"0.################"))) &amp; "|" &amp; TEXT(G92,"yyyy-mm-dd") &amp; "|" &amp; IF(K92="", "CALL", UPPER(K92)) &amp; "|" &amp; IF(C92="", "OPEN", UPPER(C92))</f>
        <v>NVDA|170|2025-12-26|CALL|OPEN</v>
      </c>
      <c r="K92" t="s">
        <v>14</v>
      </c>
    </row>
  </sheetData>
  <autoFilter ref="A1:J88" xr:uid="{00000000-0009-0000-0000-000000000000}">
    <sortState xmlns:xlrd2="http://schemas.microsoft.com/office/spreadsheetml/2017/richdata2" ref="A2:J90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Blessing,Travis</cp:lastModifiedBy>
  <dcterms:created xsi:type="dcterms:W3CDTF">2025-09-29T19:46:21Z</dcterms:created>
  <dcterms:modified xsi:type="dcterms:W3CDTF">2025-12-22T12:35:21Z</dcterms:modified>
</cp:coreProperties>
</file>
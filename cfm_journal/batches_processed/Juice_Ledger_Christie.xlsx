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blessin\cfm\cfm_journal\"/>
    </mc:Choice>
  </mc:AlternateContent>
  <xr:revisionPtr revIDLastSave="0" documentId="13_ncr:1_{046277AC-8A8E-4D10-83A6-2378AAE05C99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Ledger" sheetId="1" r:id="rId1"/>
  </sheets>
  <definedNames>
    <definedName name="_xlnm._FilterDatabase" localSheetId="0" hidden="1">Ledger!$A$1:$J$139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35" i="1"/>
  <c r="J34" i="1"/>
  <c r="J33" i="1"/>
  <c r="J32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<sst xmlns="http://schemas.openxmlformats.org/spreadsheetml/2006/main" count="563" uniqueCount="17">
  <si>
    <t>Account</t>
  </si>
  <si>
    <t>Date</t>
  </si>
  <si>
    <t>Action</t>
  </si>
  <si>
    <t>Symbol</t>
  </si>
  <si>
    <t>Contracts</t>
  </si>
  <si>
    <t>Strike</t>
  </si>
  <si>
    <t>Expiry</t>
  </si>
  <si>
    <t>Premium/Buyback</t>
  </si>
  <si>
    <t>Underlying</t>
  </si>
  <si>
    <t>Key</t>
  </si>
  <si>
    <t>Side</t>
  </si>
  <si>
    <t>Christie</t>
  </si>
  <si>
    <t>OPEN</t>
  </si>
  <si>
    <t>NVDA</t>
  </si>
  <si>
    <t>Call</t>
  </si>
  <si>
    <t>CLOSE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</si>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</sst>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topLeftCell="B1" workbookViewId="0">
      <selection activeCell="L123" sqref="L123"/>
    </sheetView>
  </sheetViews>
  <sheetFormatPr defaultRowHeight="15" x14ac:dyDescent="0.25"/>
  <cols>
    <col min="1" max="9" width="18.7109375" customWidth="1"/>
    <col min="10" max="10" width="33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45930.341853171303</v>
      </c>
      <c r="C2" t="s">
        <v>12</v>
      </c>
      <c r="D2" t="s">
        <v>13</v>
      </c>
      <c r="E2">
        <v>3</v>
      </c>
      <c r="F2">
        <v>160</v>
      </c>
      <c r="G2" s="1">
        <v>45898</v>
      </c>
      <c r="H2">
        <v>1.1399999999999999</v>
      </c>
      <c r="J2" t="str">
        <f t="shared" ref="J2:J33" si="0">UPPER(D2) &amp; "|" &amp; IF(F2="","",IF(MOD(F2,1)=0,TEXT(F2,"0"),TEXT(F2,"0.################"))) &amp; "|" &amp; TEXT(G2,"yyyy-mm-dd") &amp; "|" &amp; IF(K2="", "CALL", UPPER(K2)) &amp; "|" &amp; IF(C2="", "OPEN", UPPER(C2))</f>
        <v>NVDA|160|2025-08-29|CALL|OPEN</v>
      </c>
      <c r="K2" t="s">
        <v>14</v>
      </c>
    </row>
    <row r="3" spans="1:11" x14ac:dyDescent="0.25">
      <c r="A3" t="s">
        <v>11</v>
      </c>
      <c r="B3" s="1">
        <v>45930.359754814817</v>
      </c>
      <c r="C3" t="s">
        <v>15</v>
      </c>
      <c r="D3" t="s">
        <v>13</v>
      </c>
      <c r="E3">
        <v>3</v>
      </c>
      <c r="F3">
        <v>160</v>
      </c>
      <c r="G3" s="1">
        <v>45898</v>
      </c>
      <c r="H3">
        <v>0.56000000000000005</v>
      </c>
      <c r="J3" t="str">
        <f t="shared" si="0"/>
        <v>NVDA|160|2025-08-29|CALL|CLOSE</v>
      </c>
      <c r="K3" t="s">
        <v>14</v>
      </c>
    </row>
    <row r="4" spans="1:11" x14ac:dyDescent="0.25">
      <c r="A4" t="s">
        <v>11</v>
      </c>
      <c r="B4" s="1">
        <v>45930.362542037037</v>
      </c>
      <c r="C4" t="s">
        <v>12</v>
      </c>
      <c r="D4" t="s">
        <v>13</v>
      </c>
      <c r="E4">
        <v>3</v>
      </c>
      <c r="F4">
        <v>165</v>
      </c>
      <c r="G4" s="1">
        <v>45905</v>
      </c>
      <c r="H4">
        <v>1.88</v>
      </c>
      <c r="J4" t="str">
        <f t="shared" si="0"/>
        <v>NVDA|165|2025-09-05|CALL|OPEN</v>
      </c>
      <c r="K4" t="s">
        <v>14</v>
      </c>
    </row>
    <row r="5" spans="1:11" x14ac:dyDescent="0.25">
      <c r="A5" t="s">
        <v>11</v>
      </c>
      <c r="B5" s="1">
        <v>45930.366164293977</v>
      </c>
      <c r="C5" t="s">
        <v>15</v>
      </c>
      <c r="D5" t="s">
        <v>13</v>
      </c>
      <c r="E5">
        <v>3</v>
      </c>
      <c r="F5">
        <v>165</v>
      </c>
      <c r="G5" s="1">
        <v>45905</v>
      </c>
      <c r="H5">
        <v>-0.16</v>
      </c>
      <c r="J5" t="str">
        <f t="shared" si="0"/>
        <v>NVDA|165|2025-09-05|CALL|CLOSE</v>
      </c>
      <c r="K5" t="s">
        <v>14</v>
      </c>
    </row>
    <row r="6" spans="1:11" x14ac:dyDescent="0.25">
      <c r="A6" t="s">
        <v>11</v>
      </c>
      <c r="B6" s="1">
        <v>45930.532836493046</v>
      </c>
      <c r="C6" t="s">
        <v>12</v>
      </c>
      <c r="D6" t="s">
        <v>13</v>
      </c>
      <c r="E6">
        <v>3</v>
      </c>
      <c r="F6">
        <v>165</v>
      </c>
      <c r="G6" s="1">
        <v>45905</v>
      </c>
      <c r="H6">
        <v>0.81</v>
      </c>
      <c r="J6" t="str">
        <f t="shared" si="0"/>
        <v>NVDA|165|2025-09-05|CALL|OPEN</v>
      </c>
      <c r="K6" t="s">
        <v>14</v>
      </c>
    </row>
    <row r="7" spans="1:11" x14ac:dyDescent="0.25">
      <c r="A7" t="s">
        <v>11</v>
      </c>
      <c r="B7" s="1">
        <v>45930.533580798612</v>
      </c>
      <c r="C7" t="s">
        <v>15</v>
      </c>
      <c r="D7" t="s">
        <v>13</v>
      </c>
      <c r="E7">
        <v>3</v>
      </c>
      <c r="F7">
        <v>165</v>
      </c>
      <c r="G7" s="1">
        <v>45905</v>
      </c>
      <c r="H7">
        <v>1.43</v>
      </c>
      <c r="J7" t="str">
        <f t="shared" si="0"/>
        <v>NVDA|165|2025-09-05|CALL|CLOSE</v>
      </c>
      <c r="K7" t="s">
        <v>14</v>
      </c>
    </row>
    <row r="8" spans="1:11" x14ac:dyDescent="0.25">
      <c r="A8" t="s">
        <v>11</v>
      </c>
      <c r="B8" s="1">
        <v>45930.523316736108</v>
      </c>
      <c r="C8" t="s">
        <v>12</v>
      </c>
      <c r="D8" t="s">
        <v>13</v>
      </c>
      <c r="E8">
        <v>3</v>
      </c>
      <c r="F8">
        <v>172.5</v>
      </c>
      <c r="G8" s="1">
        <v>45905</v>
      </c>
      <c r="H8">
        <v>0.57999999999999996</v>
      </c>
      <c r="J8" t="str">
        <f t="shared" si="0"/>
        <v>NVDA|172.5|2025-09-05|CALL|OPEN</v>
      </c>
      <c r="K8" t="s">
        <v>14</v>
      </c>
    </row>
    <row r="9" spans="1:11" x14ac:dyDescent="0.25">
      <c r="A9" t="s">
        <v>11</v>
      </c>
      <c r="B9" s="1">
        <v>45930.530362673613</v>
      </c>
      <c r="C9" t="s">
        <v>15</v>
      </c>
      <c r="D9" t="s">
        <v>13</v>
      </c>
      <c r="E9">
        <v>3</v>
      </c>
      <c r="F9">
        <v>172.5</v>
      </c>
      <c r="G9" s="1">
        <v>45905</v>
      </c>
      <c r="H9">
        <v>2.91</v>
      </c>
      <c r="J9" t="str">
        <f t="shared" si="0"/>
        <v>NVDA|172.5|2025-09-05|CALL|CLOSE</v>
      </c>
      <c r="K9" t="s">
        <v>14</v>
      </c>
    </row>
    <row r="10" spans="1:11" x14ac:dyDescent="0.25">
      <c r="A10" t="s">
        <v>11</v>
      </c>
      <c r="B10" s="1">
        <v>45930.534930127324</v>
      </c>
      <c r="C10" t="s">
        <v>12</v>
      </c>
      <c r="D10" t="s">
        <v>13</v>
      </c>
      <c r="E10">
        <v>3</v>
      </c>
      <c r="F10">
        <v>160</v>
      </c>
      <c r="G10" s="1">
        <v>45912</v>
      </c>
      <c r="H10">
        <v>1.68</v>
      </c>
      <c r="J10" t="str">
        <f t="shared" si="0"/>
        <v>NVDA|160|2025-09-12|CALL|OPEN</v>
      </c>
      <c r="K10" t="s">
        <v>14</v>
      </c>
    </row>
    <row r="11" spans="1:11" x14ac:dyDescent="0.25">
      <c r="A11" t="s">
        <v>11</v>
      </c>
      <c r="B11" s="1">
        <v>45930.536189861108</v>
      </c>
      <c r="C11" t="s">
        <v>15</v>
      </c>
      <c r="D11" t="s">
        <v>13</v>
      </c>
      <c r="E11">
        <v>3</v>
      </c>
      <c r="F11">
        <v>160</v>
      </c>
      <c r="G11" s="1">
        <v>45912</v>
      </c>
      <c r="H11">
        <v>0.35</v>
      </c>
      <c r="J11" t="str">
        <f t="shared" si="0"/>
        <v>NVDA|160|2025-09-12|CALL|CLOSE</v>
      </c>
      <c r="K11" t="s">
        <v>14</v>
      </c>
    </row>
    <row r="12" spans="1:11" x14ac:dyDescent="0.25">
      <c r="A12" t="s">
        <v>11</v>
      </c>
      <c r="B12" s="1">
        <v>45930.537298726849</v>
      </c>
      <c r="C12" t="s">
        <v>12</v>
      </c>
      <c r="D12" t="s">
        <v>13</v>
      </c>
      <c r="E12">
        <v>3</v>
      </c>
      <c r="F12">
        <v>160</v>
      </c>
      <c r="G12" s="1">
        <v>45919</v>
      </c>
      <c r="H12">
        <v>1.3</v>
      </c>
      <c r="J12" t="str">
        <f t="shared" si="0"/>
        <v>NVDA|160|2025-09-19|CALL|OPEN</v>
      </c>
      <c r="K12" t="s">
        <v>14</v>
      </c>
    </row>
    <row r="13" spans="1:11" x14ac:dyDescent="0.25">
      <c r="A13" t="s">
        <v>11</v>
      </c>
      <c r="B13" s="1">
        <v>45930.5388671412</v>
      </c>
      <c r="C13" t="s">
        <v>15</v>
      </c>
      <c r="D13" t="s">
        <v>13</v>
      </c>
      <c r="E13">
        <v>3</v>
      </c>
      <c r="F13">
        <v>160</v>
      </c>
      <c r="G13" s="1">
        <v>45919</v>
      </c>
      <c r="H13">
        <v>0.45</v>
      </c>
      <c r="J13" t="str">
        <f t="shared" si="0"/>
        <v>NVDA|160|2025-09-19|CALL|CLOSE</v>
      </c>
      <c r="K13" t="s">
        <v>14</v>
      </c>
    </row>
    <row r="14" spans="1:11" x14ac:dyDescent="0.25">
      <c r="A14" t="s">
        <v>11</v>
      </c>
      <c r="B14" s="1">
        <v>45930.575255023148</v>
      </c>
      <c r="C14" t="s">
        <v>12</v>
      </c>
      <c r="D14" t="s">
        <v>13</v>
      </c>
      <c r="E14">
        <v>1</v>
      </c>
      <c r="F14">
        <v>168</v>
      </c>
      <c r="G14" s="1">
        <v>45919</v>
      </c>
      <c r="H14">
        <v>1.07</v>
      </c>
      <c r="J14" t="str">
        <f t="shared" si="0"/>
        <v>NVDA|168|2025-09-19|CALL|OPEN</v>
      </c>
      <c r="K14" t="s">
        <v>14</v>
      </c>
    </row>
    <row r="15" spans="1:11" x14ac:dyDescent="0.25">
      <c r="A15" t="s">
        <v>11</v>
      </c>
      <c r="B15" s="1">
        <v>45930.576700833342</v>
      </c>
      <c r="C15" t="s">
        <v>15</v>
      </c>
      <c r="D15" t="s">
        <v>13</v>
      </c>
      <c r="E15">
        <v>1</v>
      </c>
      <c r="F15">
        <v>168</v>
      </c>
      <c r="G15" s="1">
        <v>45919</v>
      </c>
      <c r="H15">
        <v>1.65</v>
      </c>
      <c r="J15" t="str">
        <f t="shared" si="0"/>
        <v>NVDA|168|2025-09-19|CALL|CLOSE</v>
      </c>
      <c r="K15" t="s">
        <v>14</v>
      </c>
    </row>
    <row r="16" spans="1:11" x14ac:dyDescent="0.25">
      <c r="A16" t="s">
        <v>11</v>
      </c>
      <c r="B16" s="1">
        <v>45930.53993684028</v>
      </c>
      <c r="C16" t="s">
        <v>12</v>
      </c>
      <c r="D16" t="s">
        <v>13</v>
      </c>
      <c r="E16">
        <v>3</v>
      </c>
      <c r="F16">
        <v>170</v>
      </c>
      <c r="G16" s="1">
        <v>45919</v>
      </c>
      <c r="H16">
        <v>1.17</v>
      </c>
      <c r="J16" t="str">
        <f t="shared" si="0"/>
        <v>NVDA|170|2025-09-19|CALL|OPEN</v>
      </c>
      <c r="K16" t="s">
        <v>14</v>
      </c>
    </row>
    <row r="17" spans="1:11" x14ac:dyDescent="0.25">
      <c r="A17" t="s">
        <v>11</v>
      </c>
      <c r="B17" s="1">
        <v>45930.541032094909</v>
      </c>
      <c r="C17" t="s">
        <v>15</v>
      </c>
      <c r="D17" t="s">
        <v>13</v>
      </c>
      <c r="E17">
        <v>3</v>
      </c>
      <c r="F17">
        <v>170</v>
      </c>
      <c r="G17" s="1">
        <v>45919</v>
      </c>
      <c r="H17">
        <v>2.33</v>
      </c>
      <c r="J17" t="str">
        <f t="shared" si="0"/>
        <v>NVDA|170|2025-09-19|CALL|CLOSE</v>
      </c>
      <c r="K17" t="s">
        <v>14</v>
      </c>
    </row>
    <row r="18" spans="1:11" x14ac:dyDescent="0.25">
      <c r="A18" t="s">
        <v>11</v>
      </c>
      <c r="B18" s="1">
        <v>45930.581284305546</v>
      </c>
      <c r="C18" t="s">
        <v>12</v>
      </c>
      <c r="D18" t="s">
        <v>13</v>
      </c>
      <c r="E18">
        <v>1</v>
      </c>
      <c r="F18">
        <v>160</v>
      </c>
      <c r="G18" s="1">
        <v>45926</v>
      </c>
      <c r="H18">
        <v>1.24</v>
      </c>
      <c r="J18" t="str">
        <f t="shared" si="0"/>
        <v>NVDA|160|2025-09-26|CALL|OPEN</v>
      </c>
      <c r="K18" t="s">
        <v>14</v>
      </c>
    </row>
    <row r="19" spans="1:11" x14ac:dyDescent="0.25">
      <c r="A19" t="s">
        <v>11</v>
      </c>
      <c r="B19" s="1">
        <v>45930.582595381937</v>
      </c>
      <c r="C19" t="s">
        <v>15</v>
      </c>
      <c r="D19" t="s">
        <v>13</v>
      </c>
      <c r="E19">
        <v>1</v>
      </c>
      <c r="F19">
        <v>160</v>
      </c>
      <c r="G19" s="1">
        <v>45926</v>
      </c>
      <c r="H19">
        <v>0.39</v>
      </c>
      <c r="J19" t="str">
        <f t="shared" si="0"/>
        <v>NVDA|160|2025-09-26|CALL|CLOSE</v>
      </c>
      <c r="K19" t="s">
        <v>14</v>
      </c>
    </row>
    <row r="20" spans="1:11" x14ac:dyDescent="0.25">
      <c r="A20" t="s">
        <v>11</v>
      </c>
      <c r="B20" s="1">
        <v>45930.592602708333</v>
      </c>
      <c r="C20" t="s">
        <v>12</v>
      </c>
      <c r="D20" t="s">
        <v>13</v>
      </c>
      <c r="E20">
        <v>3</v>
      </c>
      <c r="F20">
        <v>160</v>
      </c>
      <c r="G20" s="1">
        <v>45926</v>
      </c>
      <c r="H20">
        <v>1.35</v>
      </c>
      <c r="J20" t="str">
        <f t="shared" si="0"/>
        <v>NVDA|160|2025-09-26|CALL|OPEN</v>
      </c>
      <c r="K20" t="s">
        <v>14</v>
      </c>
    </row>
    <row r="21" spans="1:11" x14ac:dyDescent="0.25">
      <c r="A21" t="s">
        <v>11</v>
      </c>
      <c r="B21" s="1">
        <v>45930.593234756947</v>
      </c>
      <c r="C21" t="s">
        <v>15</v>
      </c>
      <c r="D21" t="s">
        <v>13</v>
      </c>
      <c r="E21">
        <v>3</v>
      </c>
      <c r="F21">
        <v>160</v>
      </c>
      <c r="G21" s="1">
        <v>45926</v>
      </c>
      <c r="H21">
        <v>0.39</v>
      </c>
      <c r="J21" t="str">
        <f t="shared" si="0"/>
        <v>NVDA|160|2025-09-26|CALL|CLOSE</v>
      </c>
      <c r="K21" t="s">
        <v>14</v>
      </c>
    </row>
    <row r="22" spans="1:11" x14ac:dyDescent="0.25">
      <c r="A22" t="s">
        <v>11</v>
      </c>
      <c r="B22" s="1">
        <v>45930.649930150466</v>
      </c>
      <c r="C22" t="s">
        <v>12</v>
      </c>
      <c r="D22" t="s">
        <v>13</v>
      </c>
      <c r="E22">
        <v>2</v>
      </c>
      <c r="F22">
        <v>165</v>
      </c>
      <c r="G22" s="1">
        <v>45926</v>
      </c>
      <c r="H22">
        <v>1.19</v>
      </c>
      <c r="J22" t="str">
        <f t="shared" si="0"/>
        <v>NVDA|165|2025-09-26|CALL|OPEN</v>
      </c>
      <c r="K22" t="s">
        <v>14</v>
      </c>
    </row>
    <row r="23" spans="1:11" x14ac:dyDescent="0.25">
      <c r="A23" t="s">
        <v>11</v>
      </c>
      <c r="B23" s="1">
        <v>45930.655665995371</v>
      </c>
      <c r="C23" t="s">
        <v>15</v>
      </c>
      <c r="D23" t="s">
        <v>13</v>
      </c>
      <c r="E23">
        <v>2</v>
      </c>
      <c r="F23">
        <v>165</v>
      </c>
      <c r="G23" s="1">
        <v>45926</v>
      </c>
      <c r="H23">
        <v>0.42</v>
      </c>
      <c r="J23" t="str">
        <f t="shared" si="0"/>
        <v>NVDA|165|2025-09-26|CALL|CLOSE</v>
      </c>
      <c r="K23" t="s">
        <v>14</v>
      </c>
    </row>
    <row r="24" spans="1:11" x14ac:dyDescent="0.25">
      <c r="A24" t="s">
        <v>11</v>
      </c>
      <c r="B24" s="1">
        <v>45930.704769537027</v>
      </c>
      <c r="C24" t="s">
        <v>12</v>
      </c>
      <c r="D24" t="s">
        <v>13</v>
      </c>
      <c r="E24">
        <v>1</v>
      </c>
      <c r="F24">
        <v>165</v>
      </c>
      <c r="G24" s="1">
        <v>45926</v>
      </c>
      <c r="H24">
        <v>1.23</v>
      </c>
      <c r="J24" t="str">
        <f t="shared" si="0"/>
        <v>NVDA|165|2025-09-26|CALL|OPEN</v>
      </c>
      <c r="K24" t="s">
        <v>14</v>
      </c>
    </row>
    <row r="25" spans="1:11" x14ac:dyDescent="0.25">
      <c r="A25" t="s">
        <v>11</v>
      </c>
      <c r="B25" s="1">
        <v>45930.705550486113</v>
      </c>
      <c r="C25" t="s">
        <v>15</v>
      </c>
      <c r="D25" t="s">
        <v>13</v>
      </c>
      <c r="E25">
        <v>1</v>
      </c>
      <c r="F25">
        <v>165</v>
      </c>
      <c r="G25" s="1">
        <v>45926</v>
      </c>
      <c r="H25">
        <v>0.2</v>
      </c>
      <c r="J25" t="str">
        <f t="shared" si="0"/>
        <v>NVDA|165|2025-09-26|CALL|CLOSE</v>
      </c>
      <c r="K25" t="s">
        <v>14</v>
      </c>
    </row>
    <row r="26" spans="1:11" x14ac:dyDescent="0.25">
      <c r="A26" t="s">
        <v>11</v>
      </c>
      <c r="B26" s="1">
        <v>45930.594728946759</v>
      </c>
      <c r="C26" t="s">
        <v>12</v>
      </c>
      <c r="D26" t="s">
        <v>13</v>
      </c>
      <c r="E26">
        <v>4</v>
      </c>
      <c r="F26">
        <v>170</v>
      </c>
      <c r="G26" s="1">
        <v>45926</v>
      </c>
      <c r="H26">
        <v>1.05</v>
      </c>
      <c r="J26" t="str">
        <f t="shared" si="0"/>
        <v>NVDA|170|2025-09-26|CALL|OPEN</v>
      </c>
      <c r="K26" t="s">
        <v>14</v>
      </c>
    </row>
    <row r="27" spans="1:11" x14ac:dyDescent="0.25">
      <c r="A27" t="s">
        <v>11</v>
      </c>
      <c r="B27" s="1">
        <v>45930.596390324077</v>
      </c>
      <c r="C27" t="s">
        <v>15</v>
      </c>
      <c r="D27" t="s">
        <v>13</v>
      </c>
      <c r="E27">
        <v>4</v>
      </c>
      <c r="F27">
        <v>170</v>
      </c>
      <c r="G27" s="1">
        <v>45926</v>
      </c>
      <c r="H27">
        <v>0.18</v>
      </c>
      <c r="J27" t="str">
        <f t="shared" si="0"/>
        <v>NVDA|170|2025-09-26|CALL|CLOSE</v>
      </c>
      <c r="K27" t="s">
        <v>14</v>
      </c>
    </row>
    <row r="28" spans="1:11" x14ac:dyDescent="0.25">
      <c r="A28" t="s">
        <v>11</v>
      </c>
      <c r="B28" s="1">
        <v>45930.663350567127</v>
      </c>
      <c r="C28" t="s">
        <v>12</v>
      </c>
      <c r="D28" t="s">
        <v>13</v>
      </c>
      <c r="E28">
        <v>2</v>
      </c>
      <c r="F28">
        <v>175</v>
      </c>
      <c r="G28" s="1">
        <v>45926</v>
      </c>
      <c r="H28">
        <v>1.02</v>
      </c>
      <c r="J28" t="str">
        <f t="shared" si="0"/>
        <v>NVDA|175|2025-09-26|CALL|OPEN</v>
      </c>
      <c r="K28" t="s">
        <v>14</v>
      </c>
    </row>
    <row r="29" spans="1:11" x14ac:dyDescent="0.25">
      <c r="A29" t="s">
        <v>11</v>
      </c>
      <c r="B29" s="1">
        <v>45930.696900104173</v>
      </c>
      <c r="C29" t="s">
        <v>15</v>
      </c>
      <c r="D29" t="s">
        <v>13</v>
      </c>
      <c r="E29">
        <v>2</v>
      </c>
      <c r="F29">
        <v>175</v>
      </c>
      <c r="G29" s="1">
        <v>45926</v>
      </c>
      <c r="H29">
        <v>2.21</v>
      </c>
      <c r="J29" t="str">
        <f t="shared" si="0"/>
        <v>NVDA|175|2025-09-26|CALL|CLOSE</v>
      </c>
      <c r="K29" t="s">
        <v>14</v>
      </c>
    </row>
    <row r="30" spans="1:11" x14ac:dyDescent="0.25">
      <c r="A30" t="s">
        <v>11</v>
      </c>
      <c r="B30" s="1">
        <v>45930.706342951387</v>
      </c>
      <c r="C30" t="s">
        <v>12</v>
      </c>
      <c r="D30" t="s">
        <v>13</v>
      </c>
      <c r="E30">
        <v>1</v>
      </c>
      <c r="F30">
        <v>177.5</v>
      </c>
      <c r="G30" s="1">
        <v>45926</v>
      </c>
      <c r="H30">
        <v>1.35</v>
      </c>
      <c r="J30" t="str">
        <f t="shared" si="0"/>
        <v>NVDA|177.5|2025-09-26|CALL|OPEN</v>
      </c>
      <c r="K30" t="s">
        <v>14</v>
      </c>
    </row>
    <row r="31" spans="1:11" x14ac:dyDescent="0.25">
      <c r="A31" t="s">
        <v>11</v>
      </c>
      <c r="B31" s="1">
        <v>45930.706938993048</v>
      </c>
      <c r="C31" t="s">
        <v>15</v>
      </c>
      <c r="D31" t="s">
        <v>13</v>
      </c>
      <c r="E31">
        <v>1</v>
      </c>
      <c r="F31">
        <v>177.5</v>
      </c>
      <c r="G31" s="1">
        <v>45926</v>
      </c>
      <c r="H31">
        <v>3.16</v>
      </c>
      <c r="J31" t="str">
        <f t="shared" si="0"/>
        <v>NVDA|177.5|2025-09-26|CALL|CLOSE</v>
      </c>
      <c r="K31" t="s">
        <v>14</v>
      </c>
    </row>
    <row r="32" spans="1:11" x14ac:dyDescent="0.25">
      <c r="A32" t="s">
        <v>11</v>
      </c>
      <c r="B32" s="1">
        <v>45925.364583333343</v>
      </c>
      <c r="C32" t="s">
        <v>12</v>
      </c>
      <c r="D32" t="s">
        <v>13</v>
      </c>
      <c r="E32">
        <v>2</v>
      </c>
      <c r="F32">
        <v>165</v>
      </c>
      <c r="G32" s="1">
        <v>45933</v>
      </c>
      <c r="H32">
        <v>10.3</v>
      </c>
      <c r="I32">
        <v>173.63</v>
      </c>
      <c r="J32" t="str">
        <f t="shared" si="0"/>
        <v>NVDA|165|2025-10-03|CALL|OPEN</v>
      </c>
      <c r="K32" t="s">
        <v>14</v>
      </c>
    </row>
    <row r="33" spans="1:11" x14ac:dyDescent="0.25">
      <c r="A33" t="s">
        <v>11</v>
      </c>
      <c r="B33" s="1">
        <v>45924.468055555553</v>
      </c>
      <c r="C33" t="s">
        <v>12</v>
      </c>
      <c r="D33" t="s">
        <v>13</v>
      </c>
      <c r="E33">
        <v>1</v>
      </c>
      <c r="F33">
        <v>165</v>
      </c>
      <c r="G33" s="1">
        <v>45933</v>
      </c>
      <c r="H33">
        <v>11.93</v>
      </c>
      <c r="I33">
        <v>175.76</v>
      </c>
      <c r="J33" t="str">
        <f t="shared" si="0"/>
        <v>NVDA|165|2025-10-03|CALL|OPEN</v>
      </c>
      <c r="K33" t="s">
        <v>14</v>
      </c>
    </row>
    <row r="34" spans="1:11" x14ac:dyDescent="0.25">
      <c r="A34" t="s">
        <v>11</v>
      </c>
      <c r="B34" s="1">
        <v>45930.393750000003</v>
      </c>
      <c r="C34" t="s">
        <v>15</v>
      </c>
      <c r="D34" t="s">
        <v>13</v>
      </c>
      <c r="E34">
        <v>3</v>
      </c>
      <c r="F34">
        <v>165</v>
      </c>
      <c r="G34" s="1">
        <v>45933</v>
      </c>
      <c r="H34">
        <v>19.25</v>
      </c>
      <c r="I34">
        <v>184</v>
      </c>
      <c r="J34" t="str">
        <f t="shared" ref="J34:J65" si="1">UPPER(D34) &amp; "|" &amp; IF(F34="","",IF(MOD(F34,1)=0,TEXT(F34,"0"),TEXT(F34,"0.################"))) &amp; "|" &amp; TEXT(G34,"yyyy-mm-dd") &amp; "|" &amp; IF(K34="", "CALL", UPPER(K34)) &amp; "|" &amp; IF(C34="", "OPEN", UPPER(C34))</f>
        <v>NVDA|165|2025-10-03|CALL|CLOSE</v>
      </c>
      <c r="K34" t="s">
        <v>14</v>
      </c>
    </row>
    <row r="35" spans="1:11" x14ac:dyDescent="0.25">
      <c r="A35" t="s">
        <v>11</v>
      </c>
      <c r="B35" s="1">
        <v>45925.442361111112</v>
      </c>
      <c r="C35" t="s">
        <v>12</v>
      </c>
      <c r="D35" t="s">
        <v>13</v>
      </c>
      <c r="E35">
        <v>4</v>
      </c>
      <c r="F35">
        <v>170</v>
      </c>
      <c r="G35" s="1">
        <v>45933</v>
      </c>
      <c r="H35">
        <v>10.15</v>
      </c>
      <c r="I35">
        <v>178.92</v>
      </c>
      <c r="J35" t="str">
        <f t="shared" si="1"/>
        <v>NVDA|170|2025-10-03|CALL|OPEN</v>
      </c>
      <c r="K35" t="s">
        <v>14</v>
      </c>
    </row>
    <row r="36" spans="1:11" x14ac:dyDescent="0.25">
      <c r="A36" t="s">
        <v>11</v>
      </c>
      <c r="B36" s="1">
        <v>45930.398611111108</v>
      </c>
      <c r="C36" t="s">
        <v>15</v>
      </c>
      <c r="D36" t="s">
        <v>13</v>
      </c>
      <c r="E36">
        <v>4</v>
      </c>
      <c r="F36">
        <v>170</v>
      </c>
      <c r="G36" s="1">
        <v>45933</v>
      </c>
      <c r="H36">
        <v>16.13</v>
      </c>
      <c r="I36">
        <v>185.77</v>
      </c>
      <c r="J36" t="str">
        <f t="shared" si="1"/>
        <v>NVDA|170|2025-10-03|CALL|CLOSE</v>
      </c>
      <c r="K36" t="s">
        <v>14</v>
      </c>
    </row>
    <row r="37" spans="1:11" x14ac:dyDescent="0.25">
      <c r="A37" t="s">
        <v>11</v>
      </c>
      <c r="B37" s="1">
        <v>45938.368750000001</v>
      </c>
      <c r="C37" t="s">
        <v>15</v>
      </c>
      <c r="D37" t="s">
        <v>13</v>
      </c>
      <c r="E37">
        <v>2</v>
      </c>
      <c r="F37">
        <v>175</v>
      </c>
      <c r="G37" s="1">
        <v>45940</v>
      </c>
      <c r="H37">
        <v>13.33</v>
      </c>
      <c r="I37">
        <v>188.11</v>
      </c>
      <c r="J37" t="str">
        <f t="shared" si="1"/>
        <v>NVDA|175|2025-10-10|CALL|CLOSE</v>
      </c>
      <c r="K37" t="s">
        <v>14</v>
      </c>
    </row>
    <row r="38" spans="1:11" x14ac:dyDescent="0.25">
      <c r="A38" t="s">
        <v>11</v>
      </c>
      <c r="B38" s="1">
        <v>45938.369444444441</v>
      </c>
      <c r="C38" t="s">
        <v>15</v>
      </c>
      <c r="D38" t="s">
        <v>13</v>
      </c>
      <c r="E38">
        <v>2</v>
      </c>
      <c r="F38">
        <v>175</v>
      </c>
      <c r="G38" s="1">
        <v>45940</v>
      </c>
      <c r="H38">
        <v>13.25</v>
      </c>
      <c r="I38">
        <v>187.97</v>
      </c>
      <c r="J38" t="str">
        <f t="shared" si="1"/>
        <v>NVDA|175|2025-10-10|CALL|CLOSE</v>
      </c>
      <c r="K38" t="s">
        <v>14</v>
      </c>
    </row>
    <row r="39" spans="1:11" x14ac:dyDescent="0.25">
      <c r="A39" t="s">
        <v>11</v>
      </c>
      <c r="B39" s="1">
        <v>45930.393750000003</v>
      </c>
      <c r="C39" t="s">
        <v>12</v>
      </c>
      <c r="D39" t="s">
        <v>13</v>
      </c>
      <c r="E39">
        <v>3</v>
      </c>
      <c r="F39">
        <v>172.5</v>
      </c>
      <c r="G39" s="1">
        <v>45940</v>
      </c>
      <c r="H39">
        <v>12.76</v>
      </c>
      <c r="I39">
        <v>184</v>
      </c>
      <c r="J39" t="str">
        <f t="shared" si="1"/>
        <v>NVDA|172.5|2025-10-10|CALL|OPEN</v>
      </c>
      <c r="K39" t="s">
        <v>14</v>
      </c>
    </row>
    <row r="40" spans="1:11" x14ac:dyDescent="0.25">
      <c r="A40" t="s">
        <v>11</v>
      </c>
      <c r="B40" s="1">
        <v>45930.398611111108</v>
      </c>
      <c r="C40" t="s">
        <v>12</v>
      </c>
      <c r="D40" t="s">
        <v>13</v>
      </c>
      <c r="E40">
        <v>4</v>
      </c>
      <c r="F40">
        <v>175</v>
      </c>
      <c r="G40" s="1">
        <v>45940</v>
      </c>
      <c r="H40">
        <v>12.29</v>
      </c>
      <c r="I40">
        <v>185.77</v>
      </c>
      <c r="J40" t="str">
        <f t="shared" si="1"/>
        <v>NVDA|175|2025-10-10|CALL|OPEN</v>
      </c>
      <c r="K40" t="s">
        <v>14</v>
      </c>
    </row>
    <row r="41" spans="1:11" x14ac:dyDescent="0.25">
      <c r="A41" t="s">
        <v>11</v>
      </c>
      <c r="B41" s="1">
        <v>45930.444444444453</v>
      </c>
      <c r="C41" t="s">
        <v>12</v>
      </c>
      <c r="D41" t="s">
        <v>13</v>
      </c>
      <c r="E41">
        <v>1</v>
      </c>
      <c r="F41">
        <v>172.5</v>
      </c>
      <c r="G41" s="1">
        <v>45940</v>
      </c>
      <c r="H41">
        <v>14.49</v>
      </c>
      <c r="I41">
        <v>185.93</v>
      </c>
      <c r="J41" t="str">
        <f t="shared" si="1"/>
        <v>NVDA|172.5|2025-10-10|CALL|OPEN</v>
      </c>
      <c r="K41" t="s">
        <v>14</v>
      </c>
    </row>
    <row r="42" spans="1:11" x14ac:dyDescent="0.25">
      <c r="A42" t="s">
        <v>11</v>
      </c>
      <c r="B42" s="1">
        <v>45938.367361111108</v>
      </c>
      <c r="C42" t="s">
        <v>15</v>
      </c>
      <c r="D42" t="s">
        <v>13</v>
      </c>
      <c r="E42">
        <v>4</v>
      </c>
      <c r="F42">
        <v>172.5</v>
      </c>
      <c r="G42" s="1">
        <v>45940</v>
      </c>
      <c r="H42">
        <v>16.03</v>
      </c>
      <c r="I42">
        <v>188.32</v>
      </c>
      <c r="J42" t="str">
        <f t="shared" si="1"/>
        <v>NVDA|172.5|2025-10-10|CALL|CLOSE</v>
      </c>
      <c r="K42" t="s">
        <v>14</v>
      </c>
    </row>
    <row r="43" spans="1:11" x14ac:dyDescent="0.25">
      <c r="A43" t="s">
        <v>11</v>
      </c>
      <c r="B43" s="1">
        <v>45945.511111111111</v>
      </c>
      <c r="C43" t="s">
        <v>12</v>
      </c>
      <c r="D43" t="s">
        <v>13</v>
      </c>
      <c r="E43">
        <v>2</v>
      </c>
      <c r="F43">
        <v>170</v>
      </c>
      <c r="G43" s="1">
        <v>45947</v>
      </c>
      <c r="H43">
        <v>8.52</v>
      </c>
      <c r="I43">
        <v>177.53</v>
      </c>
      <c r="J43" t="str">
        <f t="shared" si="1"/>
        <v>NVDA|170|2025-10-17|CALL|OPEN</v>
      </c>
      <c r="K43" t="s">
        <v>14</v>
      </c>
    </row>
    <row r="44" spans="1:11" x14ac:dyDescent="0.25">
      <c r="A44" t="s">
        <v>11</v>
      </c>
      <c r="B44" s="1">
        <v>45947.37777777778</v>
      </c>
      <c r="C44" t="s">
        <v>15</v>
      </c>
      <c r="D44" t="s">
        <v>13</v>
      </c>
      <c r="E44">
        <v>2</v>
      </c>
      <c r="F44">
        <v>170</v>
      </c>
      <c r="G44" s="1">
        <v>45947</v>
      </c>
      <c r="H44">
        <v>12.45</v>
      </c>
      <c r="I44">
        <v>182.26</v>
      </c>
      <c r="J44" t="str">
        <f t="shared" si="1"/>
        <v>NVDA|170|2025-10-17|CALL|CLOSE</v>
      </c>
      <c r="K44" t="s">
        <v>14</v>
      </c>
    </row>
    <row r="45" spans="1:11" x14ac:dyDescent="0.25">
      <c r="A45" t="s">
        <v>11</v>
      </c>
      <c r="B45" s="1">
        <v>45938.367361111108</v>
      </c>
      <c r="C45" t="s">
        <v>12</v>
      </c>
      <c r="D45" t="s">
        <v>13</v>
      </c>
      <c r="E45">
        <v>4</v>
      </c>
      <c r="F45">
        <v>175</v>
      </c>
      <c r="G45" s="1">
        <v>45947</v>
      </c>
      <c r="H45">
        <v>14.45</v>
      </c>
      <c r="I45">
        <v>188.33</v>
      </c>
      <c r="J45" t="str">
        <f t="shared" si="1"/>
        <v>NVDA|175|2025-10-17|CALL|OPEN</v>
      </c>
      <c r="K45" t="s">
        <v>14</v>
      </c>
    </row>
    <row r="46" spans="1:11" x14ac:dyDescent="0.25">
      <c r="A46" t="s">
        <v>11</v>
      </c>
      <c r="B46" s="1">
        <v>45938.368750000001</v>
      </c>
      <c r="C46" t="s">
        <v>12</v>
      </c>
      <c r="D46" t="s">
        <v>13</v>
      </c>
      <c r="E46">
        <v>2</v>
      </c>
      <c r="F46">
        <v>175</v>
      </c>
      <c r="G46" s="1">
        <v>45947</v>
      </c>
      <c r="H46">
        <v>14.25</v>
      </c>
      <c r="I46">
        <v>188.11</v>
      </c>
      <c r="J46" t="str">
        <f t="shared" si="1"/>
        <v>NVDA|175|2025-10-17|CALL|OPEN</v>
      </c>
      <c r="K46" t="s">
        <v>14</v>
      </c>
    </row>
    <row r="47" spans="1:11" x14ac:dyDescent="0.25">
      <c r="A47" t="s">
        <v>11</v>
      </c>
      <c r="B47" s="1">
        <v>45947.379166666673</v>
      </c>
      <c r="C47" t="s">
        <v>15</v>
      </c>
      <c r="D47" t="s">
        <v>13</v>
      </c>
      <c r="E47">
        <v>3</v>
      </c>
      <c r="F47">
        <v>175</v>
      </c>
      <c r="G47" s="1">
        <v>45947</v>
      </c>
      <c r="H47">
        <v>7.31</v>
      </c>
      <c r="I47">
        <v>182.33</v>
      </c>
      <c r="J47" t="str">
        <f t="shared" si="1"/>
        <v>NVDA|175|2025-10-17|CALL|CLOSE</v>
      </c>
      <c r="K47" t="s">
        <v>14</v>
      </c>
    </row>
    <row r="48" spans="1:11" x14ac:dyDescent="0.25">
      <c r="A48" t="s">
        <v>11</v>
      </c>
      <c r="B48" s="1">
        <v>45947.380555555559</v>
      </c>
      <c r="C48" t="s">
        <v>15</v>
      </c>
      <c r="D48" t="s">
        <v>13</v>
      </c>
      <c r="E48">
        <v>3</v>
      </c>
      <c r="F48">
        <v>175</v>
      </c>
      <c r="G48" s="1">
        <v>45947</v>
      </c>
      <c r="H48">
        <v>7.25</v>
      </c>
      <c r="I48">
        <v>181.99</v>
      </c>
      <c r="J48" t="str">
        <f t="shared" si="1"/>
        <v>NVDA|175|2025-10-17|CALL|CLOSE</v>
      </c>
      <c r="K48" t="s">
        <v>14</v>
      </c>
    </row>
    <row r="49" spans="1:11" x14ac:dyDescent="0.25">
      <c r="A49" t="s">
        <v>11</v>
      </c>
      <c r="B49" s="1">
        <v>45938.369444444441</v>
      </c>
      <c r="C49" t="s">
        <v>12</v>
      </c>
      <c r="D49" t="s">
        <v>13</v>
      </c>
      <c r="E49">
        <v>2</v>
      </c>
      <c r="F49">
        <v>177.5</v>
      </c>
      <c r="G49" s="1">
        <v>45947</v>
      </c>
      <c r="H49">
        <v>12.05</v>
      </c>
      <c r="I49">
        <v>187.97</v>
      </c>
      <c r="J49" t="str">
        <f t="shared" si="1"/>
        <v>NVDA|177.5|2025-10-17|CALL|OPEN</v>
      </c>
      <c r="K49" t="s">
        <v>14</v>
      </c>
    </row>
    <row r="50" spans="1:11" x14ac:dyDescent="0.25">
      <c r="A50" t="s">
        <v>11</v>
      </c>
      <c r="B50" s="1">
        <v>45945.511111111111</v>
      </c>
      <c r="C50" t="s">
        <v>15</v>
      </c>
      <c r="D50" t="s">
        <v>13</v>
      </c>
      <c r="E50">
        <v>2</v>
      </c>
      <c r="F50">
        <v>177.5</v>
      </c>
      <c r="G50" s="1">
        <v>45947</v>
      </c>
      <c r="H50">
        <v>3.22</v>
      </c>
      <c r="I50">
        <v>177.53</v>
      </c>
      <c r="J50" t="str">
        <f t="shared" si="1"/>
        <v>NVDA|177.5|2025-10-17|CALL|CLOSE</v>
      </c>
      <c r="K50" t="s">
        <v>14</v>
      </c>
    </row>
    <row r="51" spans="1:11" x14ac:dyDescent="0.25">
      <c r="A51" t="s">
        <v>11</v>
      </c>
      <c r="B51" s="1">
        <v>45947.37777777778</v>
      </c>
      <c r="C51" t="s">
        <v>12</v>
      </c>
      <c r="D51" t="s">
        <v>13</v>
      </c>
      <c r="E51">
        <v>2</v>
      </c>
      <c r="F51">
        <v>167.5</v>
      </c>
      <c r="G51" s="1">
        <v>45954</v>
      </c>
      <c r="H51">
        <v>15.95</v>
      </c>
      <c r="I51">
        <v>182.26</v>
      </c>
      <c r="J51" t="str">
        <f t="shared" si="1"/>
        <v>NVDA|167.5|2025-10-24|CALL|OPEN</v>
      </c>
      <c r="K51" t="s">
        <v>14</v>
      </c>
    </row>
    <row r="52" spans="1:11" x14ac:dyDescent="0.25">
      <c r="A52" t="s">
        <v>11</v>
      </c>
      <c r="B52" s="1">
        <v>45947.379166666673</v>
      </c>
      <c r="C52" t="s">
        <v>12</v>
      </c>
      <c r="D52" t="s">
        <v>13</v>
      </c>
      <c r="E52">
        <v>3</v>
      </c>
      <c r="F52">
        <v>167.5</v>
      </c>
      <c r="G52" s="1">
        <v>45954</v>
      </c>
      <c r="H52">
        <v>15.75</v>
      </c>
      <c r="I52">
        <v>182.33</v>
      </c>
      <c r="J52" t="str">
        <f t="shared" si="1"/>
        <v>NVDA|167.5|2025-10-24|CALL|OPEN</v>
      </c>
      <c r="K52" t="s">
        <v>14</v>
      </c>
    </row>
    <row r="53" spans="1:11" x14ac:dyDescent="0.25">
      <c r="A53" t="s">
        <v>11</v>
      </c>
      <c r="B53" s="1">
        <v>45953.415277777778</v>
      </c>
      <c r="C53" t="s">
        <v>15</v>
      </c>
      <c r="D53" t="s">
        <v>13</v>
      </c>
      <c r="E53">
        <v>5</v>
      </c>
      <c r="F53">
        <v>167.5</v>
      </c>
      <c r="G53" s="1">
        <v>45954</v>
      </c>
      <c r="H53">
        <v>14.75</v>
      </c>
      <c r="I53">
        <v>182.12</v>
      </c>
      <c r="J53" t="str">
        <f t="shared" si="1"/>
        <v>NVDA|167.5|2025-10-24|CALL|CLOSE</v>
      </c>
      <c r="K53" t="s">
        <v>14</v>
      </c>
    </row>
    <row r="54" spans="1:11" x14ac:dyDescent="0.25">
      <c r="A54" t="s">
        <v>11</v>
      </c>
      <c r="B54" s="1">
        <v>45947.380555555559</v>
      </c>
      <c r="C54" t="s">
        <v>12</v>
      </c>
      <c r="D54" t="s">
        <v>13</v>
      </c>
      <c r="E54">
        <v>3</v>
      </c>
      <c r="F54">
        <v>170</v>
      </c>
      <c r="G54" s="1">
        <v>45954</v>
      </c>
      <c r="H54">
        <v>13.41</v>
      </c>
      <c r="I54">
        <v>181.99</v>
      </c>
      <c r="J54" t="str">
        <f t="shared" si="1"/>
        <v>NVDA|170|2025-10-24|CALL|OPEN</v>
      </c>
      <c r="K54" t="s">
        <v>14</v>
      </c>
    </row>
    <row r="55" spans="1:11" x14ac:dyDescent="0.25">
      <c r="A55" t="s">
        <v>11</v>
      </c>
      <c r="B55" s="1">
        <v>45947.540972222218</v>
      </c>
      <c r="C55" t="s">
        <v>15</v>
      </c>
      <c r="D55" t="s">
        <v>13</v>
      </c>
      <c r="E55">
        <v>1</v>
      </c>
      <c r="F55">
        <v>170</v>
      </c>
      <c r="G55" s="1">
        <v>45954</v>
      </c>
      <c r="H55">
        <v>13.95</v>
      </c>
      <c r="I55">
        <v>182.85</v>
      </c>
      <c r="J55" t="str">
        <f t="shared" si="1"/>
        <v>NVDA|170|2025-10-24|CALL|CLOSE</v>
      </c>
      <c r="K55" t="s">
        <v>14</v>
      </c>
    </row>
    <row r="56" spans="1:11" x14ac:dyDescent="0.25">
      <c r="A56" t="s">
        <v>11</v>
      </c>
      <c r="B56" s="1">
        <v>45953.415277777778</v>
      </c>
      <c r="C56" t="s">
        <v>15</v>
      </c>
      <c r="D56" t="s">
        <v>13</v>
      </c>
      <c r="E56">
        <v>2</v>
      </c>
      <c r="F56">
        <v>170</v>
      </c>
      <c r="G56" s="1">
        <v>45954</v>
      </c>
      <c r="H56">
        <v>12.44</v>
      </c>
      <c r="I56">
        <v>182.12</v>
      </c>
      <c r="J56" t="str">
        <f t="shared" si="1"/>
        <v>NVDA|170|2025-10-24|CALL|CLOSE</v>
      </c>
      <c r="K56" t="s">
        <v>14</v>
      </c>
    </row>
    <row r="57" spans="1:11" x14ac:dyDescent="0.25">
      <c r="A57" t="s">
        <v>11</v>
      </c>
      <c r="B57" s="1">
        <v>45953.415277777778</v>
      </c>
      <c r="C57" t="s">
        <v>12</v>
      </c>
      <c r="D57" t="s">
        <v>13</v>
      </c>
      <c r="E57">
        <v>5</v>
      </c>
      <c r="F57">
        <v>167.5</v>
      </c>
      <c r="G57" s="1">
        <v>45961</v>
      </c>
      <c r="H57">
        <v>15.62</v>
      </c>
      <c r="I57">
        <v>182.12</v>
      </c>
      <c r="J57" t="str">
        <f t="shared" si="1"/>
        <v>NVDA|167.5|2025-10-31|CALL|OPEN</v>
      </c>
      <c r="K57" t="s">
        <v>14</v>
      </c>
    </row>
    <row r="58" spans="1:11" x14ac:dyDescent="0.25">
      <c r="A58" t="s">
        <v>11</v>
      </c>
      <c r="B58" s="1">
        <v>45958.557638888888</v>
      </c>
      <c r="C58" t="s">
        <v>15</v>
      </c>
      <c r="D58" t="s">
        <v>13</v>
      </c>
      <c r="E58">
        <v>5</v>
      </c>
      <c r="F58">
        <v>167.5</v>
      </c>
      <c r="G58" s="1">
        <v>45961</v>
      </c>
      <c r="H58">
        <v>31.934999999999999</v>
      </c>
      <c r="I58">
        <v>199.23</v>
      </c>
      <c r="J58" t="str">
        <f t="shared" si="1"/>
        <v>NVDA|167.5|2025-10-31|CALL|CLOSE</v>
      </c>
      <c r="K58" t="s">
        <v>14</v>
      </c>
    </row>
    <row r="59" spans="1:11" x14ac:dyDescent="0.25">
      <c r="A59" t="s">
        <v>11</v>
      </c>
      <c r="B59" s="1">
        <v>45953.415277777778</v>
      </c>
      <c r="C59" t="s">
        <v>12</v>
      </c>
      <c r="D59" t="s">
        <v>13</v>
      </c>
      <c r="E59">
        <v>2</v>
      </c>
      <c r="F59">
        <v>170</v>
      </c>
      <c r="G59" s="1">
        <v>45961</v>
      </c>
      <c r="H59">
        <v>13.56</v>
      </c>
      <c r="I59">
        <v>182.12</v>
      </c>
      <c r="J59" t="str">
        <f t="shared" si="1"/>
        <v>NVDA|170|2025-10-31|CALL|OPEN</v>
      </c>
      <c r="K59" t="s">
        <v>14</v>
      </c>
    </row>
    <row r="60" spans="1:11" x14ac:dyDescent="0.25">
      <c r="A60" t="s">
        <v>11</v>
      </c>
      <c r="B60" s="1">
        <v>45959.359722222223</v>
      </c>
      <c r="C60" t="s">
        <v>15</v>
      </c>
      <c r="D60" t="s">
        <v>13</v>
      </c>
      <c r="E60">
        <v>2</v>
      </c>
      <c r="F60">
        <v>170</v>
      </c>
      <c r="G60" s="1">
        <v>45961</v>
      </c>
      <c r="H60">
        <v>40.33</v>
      </c>
      <c r="I60">
        <v>210.35</v>
      </c>
      <c r="J60" t="str">
        <f t="shared" si="1"/>
        <v>NVDA|170|2025-10-31|CALL|CLOSE</v>
      </c>
      <c r="K60" t="s">
        <v>14</v>
      </c>
    </row>
    <row r="61" spans="1:11" x14ac:dyDescent="0.25">
      <c r="A61" t="s">
        <v>11</v>
      </c>
      <c r="B61" s="1">
        <v>45958.557638888888</v>
      </c>
      <c r="C61" t="s">
        <v>12</v>
      </c>
      <c r="D61" t="s">
        <v>13</v>
      </c>
      <c r="E61">
        <v>5</v>
      </c>
      <c r="F61">
        <v>175</v>
      </c>
      <c r="G61" s="1">
        <v>45968</v>
      </c>
      <c r="H61">
        <v>25.15</v>
      </c>
      <c r="I61">
        <v>199.23</v>
      </c>
      <c r="J61" t="str">
        <f t="shared" si="1"/>
        <v>NVDA|175|2025-11-07|CALL|OPEN</v>
      </c>
      <c r="K61" t="s">
        <v>14</v>
      </c>
    </row>
    <row r="62" spans="1:11" x14ac:dyDescent="0.25">
      <c r="A62" t="s">
        <v>11</v>
      </c>
      <c r="B62" s="1">
        <v>45966.570138888892</v>
      </c>
      <c r="C62" t="s">
        <v>15</v>
      </c>
      <c r="D62" t="s">
        <v>13</v>
      </c>
      <c r="E62">
        <v>5</v>
      </c>
      <c r="F62">
        <v>175</v>
      </c>
      <c r="G62" s="1">
        <v>45968</v>
      </c>
      <c r="H62">
        <v>26.45</v>
      </c>
      <c r="I62">
        <v>201.29</v>
      </c>
      <c r="J62" t="str">
        <f t="shared" si="1"/>
        <v>NVDA|175|2025-11-07|CALL|CLOSE</v>
      </c>
      <c r="K62" t="s">
        <v>14</v>
      </c>
    </row>
    <row r="63" spans="1:11" x14ac:dyDescent="0.25">
      <c r="A63" t="s">
        <v>11</v>
      </c>
      <c r="B63" s="1">
        <v>45968.359027777777</v>
      </c>
      <c r="C63" t="s">
        <v>12</v>
      </c>
      <c r="D63" t="s">
        <v>13</v>
      </c>
      <c r="E63">
        <v>2</v>
      </c>
      <c r="F63">
        <v>180</v>
      </c>
      <c r="G63" s="1">
        <v>45968</v>
      </c>
      <c r="H63">
        <v>4.3</v>
      </c>
      <c r="I63">
        <v>183.37</v>
      </c>
      <c r="J63" t="str">
        <f t="shared" si="1"/>
        <v>NVDA|180|2025-11-07|CALL|OPEN</v>
      </c>
      <c r="K63" t="s">
        <v>14</v>
      </c>
    </row>
    <row r="64" spans="1:11" x14ac:dyDescent="0.25">
      <c r="A64" t="s">
        <v>11</v>
      </c>
      <c r="B64" s="1">
        <v>45968.497916666667</v>
      </c>
      <c r="C64" t="s">
        <v>15</v>
      </c>
      <c r="D64" t="s">
        <v>13</v>
      </c>
      <c r="E64">
        <v>2</v>
      </c>
      <c r="F64">
        <v>180</v>
      </c>
      <c r="G64" s="1">
        <v>45968</v>
      </c>
      <c r="H64">
        <v>2.98</v>
      </c>
      <c r="I64">
        <v>182.71</v>
      </c>
      <c r="J64" t="str">
        <f t="shared" si="1"/>
        <v>NVDA|180|2025-11-07|CALL|CLOSE</v>
      </c>
      <c r="K64" t="s">
        <v>14</v>
      </c>
    </row>
    <row r="65" spans="1:11" x14ac:dyDescent="0.25">
      <c r="A65" t="s">
        <v>11</v>
      </c>
      <c r="B65" s="1">
        <v>45959.359722222223</v>
      </c>
      <c r="C65" t="s">
        <v>12</v>
      </c>
      <c r="D65" t="s">
        <v>13</v>
      </c>
      <c r="E65">
        <v>2</v>
      </c>
      <c r="F65">
        <v>187.5</v>
      </c>
      <c r="G65" s="1">
        <v>45968</v>
      </c>
      <c r="H65">
        <v>23.85</v>
      </c>
      <c r="I65">
        <v>210.35</v>
      </c>
      <c r="J65" t="str">
        <f t="shared" si="1"/>
        <v>NVDA|187.5|2025-11-07|CALL|OPEN</v>
      </c>
      <c r="K65" t="s">
        <v>14</v>
      </c>
    </row>
    <row r="66" spans="1:11" x14ac:dyDescent="0.25">
      <c r="A66" t="s">
        <v>11</v>
      </c>
      <c r="B66" s="1">
        <v>45968.359027777777</v>
      </c>
      <c r="C66" t="s">
        <v>15</v>
      </c>
      <c r="D66" t="s">
        <v>13</v>
      </c>
      <c r="E66">
        <v>2</v>
      </c>
      <c r="F66">
        <v>187.5</v>
      </c>
      <c r="G66" s="1">
        <v>45968</v>
      </c>
      <c r="H66">
        <v>0.49</v>
      </c>
      <c r="I66">
        <v>183.37</v>
      </c>
      <c r="J66" t="str">
        <f t="shared" ref="J66:J97" si="2">UPPER(D66) &amp; "|" &amp; IF(F66="","",IF(MOD(F66,1)=0,TEXT(F66,"0"),TEXT(F66,"0.################"))) &amp; "|" &amp; TEXT(G66,"yyyy-mm-dd") &amp; "|" &amp; IF(K66="", "CALL", UPPER(K66)) &amp; "|" &amp; IF(C66="", "OPEN", UPPER(C66))</f>
        <v>NVDA|187.5|2025-11-07|CALL|CLOSE</v>
      </c>
      <c r="K66" t="s">
        <v>14</v>
      </c>
    </row>
    <row r="67" spans="1:11" x14ac:dyDescent="0.25">
      <c r="A67" t="s">
        <v>11</v>
      </c>
      <c r="B67" s="1">
        <v>45968.497916666667</v>
      </c>
      <c r="C67" t="s">
        <v>12</v>
      </c>
      <c r="D67" t="s">
        <v>13</v>
      </c>
      <c r="E67">
        <v>2</v>
      </c>
      <c r="F67">
        <v>167.5</v>
      </c>
      <c r="G67" s="1">
        <v>45975</v>
      </c>
      <c r="H67">
        <v>16.440000000000001</v>
      </c>
      <c r="I67">
        <v>182.71</v>
      </c>
      <c r="J67" t="str">
        <f t="shared" si="2"/>
        <v>NVDA|167.5|2025-11-14|CALL|OPEN</v>
      </c>
      <c r="K67" t="s">
        <v>14</v>
      </c>
    </row>
    <row r="68" spans="1:11" x14ac:dyDescent="0.25">
      <c r="A68" t="s">
        <v>11</v>
      </c>
      <c r="B68" s="1">
        <v>45971.362500000003</v>
      </c>
      <c r="C68" t="s">
        <v>15</v>
      </c>
      <c r="D68" t="s">
        <v>13</v>
      </c>
      <c r="E68">
        <v>2</v>
      </c>
      <c r="F68">
        <v>167.5</v>
      </c>
      <c r="G68" s="1">
        <v>45975</v>
      </c>
      <c r="H68">
        <v>27.97</v>
      </c>
      <c r="I68">
        <v>195.07</v>
      </c>
      <c r="J68" t="str">
        <f t="shared" si="2"/>
        <v>NVDA|167.5|2025-11-14|CALL|CLOSE</v>
      </c>
      <c r="K68" t="s">
        <v>14</v>
      </c>
    </row>
    <row r="69" spans="1:11" x14ac:dyDescent="0.25">
      <c r="A69" t="s">
        <v>11</v>
      </c>
      <c r="B69" s="1">
        <v>45968.356249999997</v>
      </c>
      <c r="C69" t="s">
        <v>12</v>
      </c>
      <c r="D69" t="s">
        <v>13</v>
      </c>
      <c r="E69">
        <v>5</v>
      </c>
      <c r="F69">
        <v>172.5</v>
      </c>
      <c r="G69" s="1">
        <v>45975</v>
      </c>
      <c r="H69">
        <v>14.45</v>
      </c>
      <c r="I69">
        <v>185.38</v>
      </c>
      <c r="J69" t="str">
        <f t="shared" si="2"/>
        <v>NVDA|172.5|2025-11-14|CALL|OPEN</v>
      </c>
      <c r="K69" t="s">
        <v>14</v>
      </c>
    </row>
    <row r="70" spans="1:11" x14ac:dyDescent="0.25">
      <c r="A70" t="s">
        <v>11</v>
      </c>
      <c r="B70" s="1">
        <v>45971.433333333327</v>
      </c>
      <c r="C70" t="s">
        <v>15</v>
      </c>
      <c r="D70" t="s">
        <v>13</v>
      </c>
      <c r="E70">
        <v>2</v>
      </c>
      <c r="F70">
        <v>172.5</v>
      </c>
      <c r="G70" s="1">
        <v>45975</v>
      </c>
      <c r="H70">
        <v>22.23</v>
      </c>
      <c r="I70">
        <v>194.57</v>
      </c>
      <c r="J70" t="str">
        <f t="shared" si="2"/>
        <v>NVDA|172.5|2025-11-14|CALL|CLOSE</v>
      </c>
      <c r="K70" t="s">
        <v>14</v>
      </c>
    </row>
    <row r="71" spans="1:11" x14ac:dyDescent="0.25">
      <c r="A71" t="s">
        <v>11</v>
      </c>
      <c r="B71" s="1">
        <v>45972.357638888891</v>
      </c>
      <c r="C71" t="s">
        <v>15</v>
      </c>
      <c r="D71" t="s">
        <v>13</v>
      </c>
      <c r="E71">
        <v>3</v>
      </c>
      <c r="F71">
        <v>172.5</v>
      </c>
      <c r="G71" s="1">
        <v>45975</v>
      </c>
      <c r="H71">
        <v>22.34</v>
      </c>
      <c r="I71">
        <v>194.73</v>
      </c>
      <c r="J71" t="str">
        <f t="shared" si="2"/>
        <v>NVDA|172.5|2025-11-14|CALL|CLOSE</v>
      </c>
      <c r="K71" t="s">
        <v>14</v>
      </c>
    </row>
    <row r="72" spans="1:11" x14ac:dyDescent="0.25">
      <c r="A72" t="s">
        <v>11</v>
      </c>
      <c r="B72" s="1">
        <v>45971.433333333327</v>
      </c>
      <c r="C72" t="s">
        <v>12</v>
      </c>
      <c r="D72" t="s">
        <v>13</v>
      </c>
      <c r="E72">
        <v>2</v>
      </c>
      <c r="F72">
        <v>182.5</v>
      </c>
      <c r="G72" s="1">
        <v>45975</v>
      </c>
      <c r="H72">
        <v>12.79</v>
      </c>
      <c r="I72">
        <v>194.57</v>
      </c>
      <c r="J72" t="str">
        <f t="shared" si="2"/>
        <v>NVDA|182.5|2025-11-14|CALL|OPEN</v>
      </c>
      <c r="K72" t="s">
        <v>14</v>
      </c>
    </row>
    <row r="73" spans="1:11" x14ac:dyDescent="0.25">
      <c r="A73" t="s">
        <v>11</v>
      </c>
      <c r="B73" s="1">
        <v>45975.40902777778</v>
      </c>
      <c r="C73" t="s">
        <v>15</v>
      </c>
      <c r="D73" t="s">
        <v>13</v>
      </c>
      <c r="E73">
        <v>2</v>
      </c>
      <c r="F73">
        <v>182.5</v>
      </c>
      <c r="G73" s="1">
        <v>45975</v>
      </c>
      <c r="H73">
        <v>6.65</v>
      </c>
      <c r="I73">
        <v>188.89</v>
      </c>
      <c r="J73" t="str">
        <f t="shared" si="2"/>
        <v>NVDA|182.5|2025-11-14|CALL|CLOSE</v>
      </c>
      <c r="K73" t="s">
        <v>14</v>
      </c>
    </row>
    <row r="74" spans="1:11" x14ac:dyDescent="0.25">
      <c r="A74" t="s">
        <v>11</v>
      </c>
      <c r="B74" s="1">
        <v>45966.570138888892</v>
      </c>
      <c r="C74" t="s">
        <v>12</v>
      </c>
      <c r="D74" t="s">
        <v>13</v>
      </c>
      <c r="E74">
        <v>5</v>
      </c>
      <c r="F74">
        <v>185</v>
      </c>
      <c r="G74" s="1">
        <v>45975</v>
      </c>
      <c r="H74">
        <v>17.5</v>
      </c>
      <c r="I74">
        <v>201.29</v>
      </c>
      <c r="J74" t="str">
        <f t="shared" si="2"/>
        <v>NVDA|185|2025-11-14|CALL|OPEN</v>
      </c>
      <c r="K74" t="s">
        <v>14</v>
      </c>
    </row>
    <row r="75" spans="1:11" x14ac:dyDescent="0.25">
      <c r="A75" t="s">
        <v>11</v>
      </c>
      <c r="B75" s="1">
        <v>45968.356249999997</v>
      </c>
      <c r="C75" t="s">
        <v>15</v>
      </c>
      <c r="D75" t="s">
        <v>13</v>
      </c>
      <c r="E75">
        <v>5</v>
      </c>
      <c r="F75">
        <v>185</v>
      </c>
      <c r="G75" s="1">
        <v>45975</v>
      </c>
      <c r="H75">
        <v>5.55</v>
      </c>
      <c r="I75">
        <v>185.38</v>
      </c>
      <c r="J75" t="str">
        <f t="shared" si="2"/>
        <v>NVDA|185|2025-11-14|CALL|CLOSE</v>
      </c>
      <c r="K75" t="s">
        <v>14</v>
      </c>
    </row>
    <row r="76" spans="1:11" x14ac:dyDescent="0.25">
      <c r="A76" t="s">
        <v>11</v>
      </c>
      <c r="B76" s="1">
        <v>45975.40902777778</v>
      </c>
      <c r="C76" t="s">
        <v>12</v>
      </c>
      <c r="D76" t="s">
        <v>13</v>
      </c>
      <c r="E76">
        <v>2</v>
      </c>
      <c r="F76">
        <v>167.5</v>
      </c>
      <c r="G76" s="1">
        <v>45982</v>
      </c>
      <c r="H76">
        <v>22.75</v>
      </c>
      <c r="I76">
        <v>188.89</v>
      </c>
      <c r="J76" t="str">
        <f t="shared" si="2"/>
        <v>NVDA|167.5|2025-11-21|CALL|OPEN</v>
      </c>
      <c r="K76" t="s">
        <v>14</v>
      </c>
    </row>
    <row r="77" spans="1:11" x14ac:dyDescent="0.25">
      <c r="A77" t="s">
        <v>11</v>
      </c>
      <c r="B77" s="1">
        <v>45981.366354166668</v>
      </c>
      <c r="C77" t="s">
        <v>15</v>
      </c>
      <c r="D77" t="s">
        <v>13</v>
      </c>
      <c r="E77">
        <v>2</v>
      </c>
      <c r="F77">
        <v>167.5</v>
      </c>
      <c r="G77" s="1">
        <v>45982</v>
      </c>
      <c r="H77">
        <v>27.23</v>
      </c>
      <c r="I77">
        <v>194.37</v>
      </c>
      <c r="J77" t="str">
        <f t="shared" si="2"/>
        <v>NVDA|167.5|2025-11-21|CALL|CLOSE</v>
      </c>
      <c r="K77" t="s">
        <v>14</v>
      </c>
    </row>
    <row r="78" spans="1:11" x14ac:dyDescent="0.25">
      <c r="A78" t="s">
        <v>11</v>
      </c>
      <c r="B78" s="1">
        <v>45971.362500000003</v>
      </c>
      <c r="C78" t="s">
        <v>12</v>
      </c>
      <c r="D78" t="s">
        <v>13</v>
      </c>
      <c r="E78">
        <v>2</v>
      </c>
      <c r="F78">
        <v>170</v>
      </c>
      <c r="G78" s="1">
        <v>45982</v>
      </c>
      <c r="H78">
        <v>26.5</v>
      </c>
      <c r="I78">
        <v>195.07</v>
      </c>
      <c r="J78" t="str">
        <f t="shared" si="2"/>
        <v>NVDA|170|2025-11-21|CALL|OPEN</v>
      </c>
      <c r="K78" t="s">
        <v>14</v>
      </c>
    </row>
    <row r="79" spans="1:11" x14ac:dyDescent="0.25">
      <c r="A79" t="s">
        <v>11</v>
      </c>
      <c r="B79" s="1">
        <v>45979.366631944453</v>
      </c>
      <c r="C79" t="s">
        <v>15</v>
      </c>
      <c r="D79" t="s">
        <v>13</v>
      </c>
      <c r="E79">
        <v>2</v>
      </c>
      <c r="F79">
        <v>170</v>
      </c>
      <c r="G79" s="1">
        <v>45982</v>
      </c>
      <c r="H79">
        <v>13.96</v>
      </c>
      <c r="I79">
        <v>181.48</v>
      </c>
      <c r="J79" t="str">
        <f t="shared" si="2"/>
        <v>NVDA|170|2025-11-21|CALL|CLOSE</v>
      </c>
      <c r="K79" t="s">
        <v>14</v>
      </c>
    </row>
    <row r="80" spans="1:11" x14ac:dyDescent="0.25">
      <c r="A80" t="s">
        <v>11</v>
      </c>
      <c r="B80" s="1">
        <v>45972.357638888891</v>
      </c>
      <c r="C80" t="s">
        <v>12</v>
      </c>
      <c r="D80" t="s">
        <v>13</v>
      </c>
      <c r="E80">
        <v>3</v>
      </c>
      <c r="F80">
        <v>172.5</v>
      </c>
      <c r="G80" s="1">
        <v>45982</v>
      </c>
      <c r="H80">
        <v>23.58</v>
      </c>
      <c r="I80">
        <v>194.73</v>
      </c>
      <c r="J80" t="str">
        <f t="shared" si="2"/>
        <v>NVDA|172.5|2025-11-21|CALL|OPEN</v>
      </c>
      <c r="K80" t="s">
        <v>14</v>
      </c>
    </row>
    <row r="81" spans="1:11" x14ac:dyDescent="0.25">
      <c r="A81" t="s">
        <v>11</v>
      </c>
      <c r="B81" s="1">
        <v>45979.367337962962</v>
      </c>
      <c r="C81" t="s">
        <v>15</v>
      </c>
      <c r="D81" t="s">
        <v>13</v>
      </c>
      <c r="E81">
        <v>3</v>
      </c>
      <c r="F81">
        <v>172.5</v>
      </c>
      <c r="G81" s="1">
        <v>45982</v>
      </c>
      <c r="H81">
        <v>12.65</v>
      </c>
      <c r="I81">
        <v>181.75</v>
      </c>
      <c r="J81" t="str">
        <f t="shared" si="2"/>
        <v>NVDA|172.5|2025-11-21|CALL|CLOSE</v>
      </c>
      <c r="K81" t="s">
        <v>14</v>
      </c>
    </row>
    <row r="82" spans="1:11" x14ac:dyDescent="0.25">
      <c r="A82" t="s">
        <v>11</v>
      </c>
      <c r="B82" s="1">
        <v>45982.366539351853</v>
      </c>
      <c r="C82" t="s">
        <v>12</v>
      </c>
      <c r="D82" t="s">
        <v>13</v>
      </c>
      <c r="E82">
        <v>2</v>
      </c>
      <c r="F82">
        <v>162.5</v>
      </c>
      <c r="G82" s="1">
        <v>45989</v>
      </c>
      <c r="H82">
        <v>16.989999999999998</v>
      </c>
      <c r="I82">
        <v>177.72</v>
      </c>
      <c r="J82" t="str">
        <f t="shared" si="2"/>
        <v>NVDA|162.5|2025-11-28|CALL|OPEN</v>
      </c>
      <c r="K82" t="s">
        <v>14</v>
      </c>
    </row>
    <row r="83" spans="1:11" x14ac:dyDescent="0.25">
      <c r="A83" t="s">
        <v>11</v>
      </c>
      <c r="B83" s="1">
        <v>45987.360358796293</v>
      </c>
      <c r="C83" t="s">
        <v>15</v>
      </c>
      <c r="D83" t="s">
        <v>13</v>
      </c>
      <c r="E83">
        <v>2</v>
      </c>
      <c r="F83">
        <v>162.5</v>
      </c>
      <c r="G83" s="1">
        <v>45989</v>
      </c>
      <c r="H83">
        <v>19.170000000000002</v>
      </c>
      <c r="I83">
        <v>181.55</v>
      </c>
      <c r="J83" t="str">
        <f t="shared" si="2"/>
        <v>NVDA|162.5|2025-11-28|CALL|CLOSE</v>
      </c>
      <c r="K83" t="s">
        <v>14</v>
      </c>
    </row>
    <row r="84" spans="1:11" x14ac:dyDescent="0.25">
      <c r="A84" t="s">
        <v>11</v>
      </c>
      <c r="B84" s="1">
        <v>45979.366631944453</v>
      </c>
      <c r="C84" t="s">
        <v>12</v>
      </c>
      <c r="D84" t="s">
        <v>13</v>
      </c>
      <c r="E84">
        <v>2</v>
      </c>
      <c r="F84">
        <v>165</v>
      </c>
      <c r="G84" s="1">
        <v>45989</v>
      </c>
      <c r="H84">
        <v>18.95</v>
      </c>
      <c r="I84">
        <v>181.48</v>
      </c>
      <c r="J84" t="str">
        <f t="shared" si="2"/>
        <v>NVDA|165|2025-11-28|CALL|OPEN</v>
      </c>
      <c r="K84" t="s">
        <v>14</v>
      </c>
    </row>
    <row r="85" spans="1:11" x14ac:dyDescent="0.25">
      <c r="A85" t="s">
        <v>11</v>
      </c>
      <c r="B85" s="1">
        <v>45981.366898148153</v>
      </c>
      <c r="C85" t="s">
        <v>15</v>
      </c>
      <c r="D85" t="s">
        <v>13</v>
      </c>
      <c r="E85">
        <v>2</v>
      </c>
      <c r="F85">
        <v>165</v>
      </c>
      <c r="G85" s="1">
        <v>45989</v>
      </c>
      <c r="H85">
        <v>30.2</v>
      </c>
      <c r="I85">
        <v>194.67</v>
      </c>
      <c r="J85" t="str">
        <f t="shared" si="2"/>
        <v>NVDA|165|2025-11-28|CALL|CLOSE</v>
      </c>
      <c r="K85" t="s">
        <v>14</v>
      </c>
    </row>
    <row r="86" spans="1:11" x14ac:dyDescent="0.25">
      <c r="A86" t="s">
        <v>11</v>
      </c>
      <c r="B86" s="1">
        <v>45987.361481481479</v>
      </c>
      <c r="C86" t="s">
        <v>15</v>
      </c>
      <c r="D86" t="s">
        <v>13</v>
      </c>
      <c r="E86">
        <v>2</v>
      </c>
      <c r="F86">
        <v>165</v>
      </c>
      <c r="G86" s="1">
        <v>45989</v>
      </c>
      <c r="H86">
        <v>16.16</v>
      </c>
      <c r="I86">
        <v>181.17</v>
      </c>
      <c r="J86" t="str">
        <f t="shared" si="2"/>
        <v>NVDA|165|2025-11-28|CALL|CLOSE</v>
      </c>
      <c r="K86" t="s">
        <v>14</v>
      </c>
    </row>
    <row r="87" spans="1:11" x14ac:dyDescent="0.25">
      <c r="A87" t="s">
        <v>11</v>
      </c>
      <c r="B87" s="1">
        <v>45979.367337962962</v>
      </c>
      <c r="C87" t="s">
        <v>12</v>
      </c>
      <c r="D87" t="s">
        <v>13</v>
      </c>
      <c r="E87">
        <v>3</v>
      </c>
      <c r="F87">
        <v>167.5</v>
      </c>
      <c r="G87" s="1">
        <v>45989</v>
      </c>
      <c r="H87">
        <v>17.53</v>
      </c>
      <c r="I87">
        <v>181.75</v>
      </c>
      <c r="J87" t="str">
        <f t="shared" si="2"/>
        <v>NVDA|167.5|2025-11-28|CALL|OPEN</v>
      </c>
      <c r="K87" t="s">
        <v>14</v>
      </c>
    </row>
    <row r="88" spans="1:11" x14ac:dyDescent="0.25">
      <c r="A88" t="s">
        <v>11</v>
      </c>
      <c r="B88" s="1">
        <v>45987.360937500001</v>
      </c>
      <c r="C88" t="s">
        <v>15</v>
      </c>
      <c r="D88" t="s">
        <v>13</v>
      </c>
      <c r="E88">
        <v>2</v>
      </c>
      <c r="F88">
        <v>167.5</v>
      </c>
      <c r="G88" s="1">
        <v>45989</v>
      </c>
      <c r="H88">
        <v>14.11</v>
      </c>
      <c r="I88">
        <v>181.42</v>
      </c>
      <c r="J88" t="str">
        <f t="shared" si="2"/>
        <v>NVDA|167.5|2025-11-28|CALL|CLOSE</v>
      </c>
      <c r="K88" t="s">
        <v>14</v>
      </c>
    </row>
    <row r="89" spans="1:11" x14ac:dyDescent="0.25">
      <c r="A89" t="s">
        <v>11</v>
      </c>
      <c r="B89" s="1">
        <v>45987.361828703702</v>
      </c>
      <c r="C89" t="s">
        <v>15</v>
      </c>
      <c r="D89" t="s">
        <v>13</v>
      </c>
      <c r="E89">
        <v>1</v>
      </c>
      <c r="F89">
        <v>167.5</v>
      </c>
      <c r="G89" s="1">
        <v>45989</v>
      </c>
      <c r="H89">
        <v>13.69</v>
      </c>
      <c r="I89">
        <v>180.96</v>
      </c>
      <c r="J89" t="str">
        <f t="shared" si="2"/>
        <v>NVDA|167.5|2025-11-28|CALL|CLOSE</v>
      </c>
      <c r="K89" t="s">
        <v>14</v>
      </c>
    </row>
    <row r="90" spans="1:11" x14ac:dyDescent="0.25">
      <c r="A90" t="s">
        <v>11</v>
      </c>
      <c r="B90" s="1">
        <v>45981.366898148153</v>
      </c>
      <c r="C90" t="s">
        <v>12</v>
      </c>
      <c r="D90" t="s">
        <v>13</v>
      </c>
      <c r="E90">
        <v>2</v>
      </c>
      <c r="F90">
        <v>177.5</v>
      </c>
      <c r="G90" s="1">
        <v>45989</v>
      </c>
      <c r="H90">
        <v>18.16</v>
      </c>
      <c r="I90">
        <v>194.67</v>
      </c>
      <c r="J90" t="str">
        <f t="shared" si="2"/>
        <v>NVDA|177.5|2025-11-28|CALL|OPEN</v>
      </c>
      <c r="K90" t="s">
        <v>14</v>
      </c>
    </row>
    <row r="91" spans="1:11" x14ac:dyDescent="0.25">
      <c r="A91" t="s">
        <v>11</v>
      </c>
      <c r="B91" s="1">
        <v>45982.366539351853</v>
      </c>
      <c r="C91" t="s">
        <v>15</v>
      </c>
      <c r="D91" t="s">
        <v>13</v>
      </c>
      <c r="E91">
        <v>2</v>
      </c>
      <c r="F91">
        <v>177.5</v>
      </c>
      <c r="G91" s="1">
        <v>45989</v>
      </c>
      <c r="H91">
        <v>6</v>
      </c>
      <c r="I91">
        <v>177.72</v>
      </c>
      <c r="J91" t="str">
        <f t="shared" si="2"/>
        <v>NVDA|177.5|2025-11-28|CALL|CLOSE</v>
      </c>
      <c r="K91" t="s">
        <v>14</v>
      </c>
    </row>
    <row r="92" spans="1:11" x14ac:dyDescent="0.25">
      <c r="A92" t="s">
        <v>11</v>
      </c>
      <c r="B92" s="1">
        <v>45981.366354166668</v>
      </c>
      <c r="C92" t="s">
        <v>12</v>
      </c>
      <c r="D92" t="s">
        <v>13</v>
      </c>
      <c r="E92">
        <v>2</v>
      </c>
      <c r="F92">
        <v>180</v>
      </c>
      <c r="G92" s="1">
        <v>45989</v>
      </c>
      <c r="H92">
        <v>15.78</v>
      </c>
      <c r="I92">
        <v>194.37</v>
      </c>
      <c r="J92" t="str">
        <f t="shared" si="2"/>
        <v>NVDA|180|2025-11-28|CALL|OPEN</v>
      </c>
      <c r="K92" t="s">
        <v>14</v>
      </c>
    </row>
    <row r="93" spans="1:11" x14ac:dyDescent="0.25">
      <c r="A93" t="s">
        <v>11</v>
      </c>
      <c r="B93" s="1">
        <v>45982.355752314812</v>
      </c>
      <c r="C93" t="s">
        <v>15</v>
      </c>
      <c r="D93" t="s">
        <v>13</v>
      </c>
      <c r="E93">
        <v>2</v>
      </c>
      <c r="F93">
        <v>180</v>
      </c>
      <c r="G93" s="1">
        <v>45989</v>
      </c>
      <c r="H93">
        <v>6</v>
      </c>
      <c r="I93">
        <v>180.63</v>
      </c>
      <c r="J93" t="str">
        <f t="shared" si="2"/>
        <v>NVDA|180|2025-11-28|CALL|CLOSE</v>
      </c>
      <c r="K93" t="s">
        <v>14</v>
      </c>
    </row>
    <row r="94" spans="1:11" x14ac:dyDescent="0.25">
      <c r="A94" t="s">
        <v>11</v>
      </c>
      <c r="B94" s="1">
        <v>45982.355555555558</v>
      </c>
      <c r="C94" t="s">
        <v>12</v>
      </c>
      <c r="D94" t="s">
        <v>13</v>
      </c>
      <c r="E94">
        <v>2</v>
      </c>
      <c r="F94">
        <v>165</v>
      </c>
      <c r="G94" s="1">
        <v>45989</v>
      </c>
      <c r="H94">
        <v>17.14</v>
      </c>
      <c r="I94">
        <v>180.63</v>
      </c>
      <c r="J94" t="str">
        <f t="shared" si="2"/>
        <v>NVDA|165|2025-11-28|CALL|OPEN</v>
      </c>
      <c r="K94" t="s">
        <v>14</v>
      </c>
    </row>
    <row r="95" spans="1:11" x14ac:dyDescent="0.25">
      <c r="A95" t="s">
        <v>11</v>
      </c>
      <c r="B95" s="1">
        <v>45987.360358796293</v>
      </c>
      <c r="C95" t="s">
        <v>12</v>
      </c>
      <c r="D95" t="s">
        <v>13</v>
      </c>
      <c r="E95">
        <v>2</v>
      </c>
      <c r="F95">
        <v>165</v>
      </c>
      <c r="G95" s="1">
        <v>45996</v>
      </c>
      <c r="H95">
        <v>17.54</v>
      </c>
      <c r="I95">
        <v>181.55</v>
      </c>
      <c r="J95" t="str">
        <f t="shared" si="2"/>
        <v>NVDA|165|2025-12-05|CALL|OPEN</v>
      </c>
      <c r="K95" t="s">
        <v>14</v>
      </c>
    </row>
    <row r="96" spans="1:11" x14ac:dyDescent="0.25">
      <c r="A96" t="s">
        <v>11</v>
      </c>
      <c r="B96" s="1">
        <v>45993.365995370368</v>
      </c>
      <c r="C96" t="s">
        <v>15</v>
      </c>
      <c r="D96" t="s">
        <v>13</v>
      </c>
      <c r="E96">
        <v>2</v>
      </c>
      <c r="F96">
        <v>165</v>
      </c>
      <c r="G96" s="1">
        <v>45996</v>
      </c>
      <c r="H96">
        <v>20.49</v>
      </c>
      <c r="I96">
        <v>185.08</v>
      </c>
      <c r="J96" t="str">
        <f t="shared" si="2"/>
        <v>NVDA|165|2025-12-05|CALL|CLOSE</v>
      </c>
      <c r="K96" t="s">
        <v>14</v>
      </c>
    </row>
    <row r="97" spans="1:11" x14ac:dyDescent="0.25">
      <c r="A97" t="s">
        <v>11</v>
      </c>
      <c r="B97" s="1">
        <v>45987.360937500001</v>
      </c>
      <c r="C97" t="s">
        <v>12</v>
      </c>
      <c r="D97" t="s">
        <v>13</v>
      </c>
      <c r="E97">
        <v>2</v>
      </c>
      <c r="F97">
        <v>167.5</v>
      </c>
      <c r="G97" s="1">
        <v>45996</v>
      </c>
      <c r="H97">
        <v>15.21</v>
      </c>
      <c r="I97">
        <v>181.42</v>
      </c>
      <c r="J97" t="str">
        <f t="shared" si="2"/>
        <v>NVDA|167.5|2025-12-05|CALL|OPEN</v>
      </c>
      <c r="K97" t="s">
        <v>14</v>
      </c>
    </row>
    <row r="98" spans="1:11" x14ac:dyDescent="0.25">
      <c r="A98" t="s">
        <v>11</v>
      </c>
      <c r="B98" s="1">
        <v>45987.361481481479</v>
      </c>
      <c r="C98" t="s">
        <v>12</v>
      </c>
      <c r="D98" t="s">
        <v>13</v>
      </c>
      <c r="E98">
        <v>2</v>
      </c>
      <c r="F98">
        <v>167.5</v>
      </c>
      <c r="G98" s="1">
        <v>45996</v>
      </c>
      <c r="H98">
        <v>14.83</v>
      </c>
      <c r="I98">
        <v>181.17</v>
      </c>
      <c r="J98" t="str">
        <f t="shared" ref="J98:J129" si="3">UPPER(D98) &amp; "|" &amp; IF(F98="","",IF(MOD(F98,1)=0,TEXT(F98,"0"),TEXT(F98,"0.################"))) &amp; "|" &amp; TEXT(G98,"yyyy-mm-dd") &amp; "|" &amp; IF(K98="", "CALL", UPPER(K98)) &amp; "|" &amp; IF(C98="", "OPEN", UPPER(C98))</f>
        <v>NVDA|167.5|2025-12-05|CALL|OPEN</v>
      </c>
      <c r="K98" t="s">
        <v>14</v>
      </c>
    </row>
    <row r="99" spans="1:11" x14ac:dyDescent="0.25">
      <c r="A99" t="s">
        <v>11</v>
      </c>
      <c r="B99" s="1">
        <v>45995.504884259259</v>
      </c>
      <c r="C99" t="s">
        <v>15</v>
      </c>
      <c r="D99" t="s">
        <v>13</v>
      </c>
      <c r="E99">
        <v>4</v>
      </c>
      <c r="F99">
        <v>167.5</v>
      </c>
      <c r="G99" s="1">
        <v>45996</v>
      </c>
      <c r="H99">
        <v>15.84</v>
      </c>
      <c r="I99">
        <v>183.15</v>
      </c>
      <c r="J99" t="str">
        <f t="shared" si="3"/>
        <v>NVDA|167.5|2025-12-05|CALL|CLOSE</v>
      </c>
      <c r="K99" t="s">
        <v>14</v>
      </c>
    </row>
    <row r="100" spans="1:11" x14ac:dyDescent="0.25">
      <c r="A100" t="s">
        <v>11</v>
      </c>
      <c r="B100" s="1">
        <v>45987.361828703702</v>
      </c>
      <c r="C100" t="s">
        <v>12</v>
      </c>
      <c r="D100" t="s">
        <v>13</v>
      </c>
      <c r="E100">
        <v>1</v>
      </c>
      <c r="F100">
        <v>170</v>
      </c>
      <c r="G100" s="1">
        <v>45996</v>
      </c>
      <c r="H100">
        <v>12.75</v>
      </c>
      <c r="I100">
        <v>180.96</v>
      </c>
      <c r="J100" t="str">
        <f t="shared" si="3"/>
        <v>NVDA|170|2025-12-05|CALL|OPEN</v>
      </c>
      <c r="K100" t="s">
        <v>14</v>
      </c>
    </row>
    <row r="101" spans="1:11" x14ac:dyDescent="0.25">
      <c r="A101" t="s">
        <v>11</v>
      </c>
      <c r="B101" s="1">
        <v>45995.505162037043</v>
      </c>
      <c r="C101" t="s">
        <v>15</v>
      </c>
      <c r="D101" t="s">
        <v>13</v>
      </c>
      <c r="E101">
        <v>1</v>
      </c>
      <c r="F101">
        <v>170</v>
      </c>
      <c r="G101" s="1">
        <v>45996</v>
      </c>
      <c r="H101">
        <v>13.28</v>
      </c>
      <c r="I101">
        <v>183.15</v>
      </c>
      <c r="J101" t="str">
        <f t="shared" si="3"/>
        <v>NVDA|170|2025-12-05|CALL|CLOSE</v>
      </c>
      <c r="K101" t="s">
        <v>14</v>
      </c>
    </row>
    <row r="102" spans="1:11" x14ac:dyDescent="0.25">
      <c r="A102" t="s">
        <v>11</v>
      </c>
      <c r="B102" s="1">
        <v>45993.365995370368</v>
      </c>
      <c r="C102" t="s">
        <v>12</v>
      </c>
      <c r="D102" t="s">
        <v>13</v>
      </c>
      <c r="E102">
        <v>2</v>
      </c>
      <c r="F102">
        <v>175</v>
      </c>
      <c r="G102" s="1">
        <v>45996</v>
      </c>
      <c r="H102">
        <v>10.85</v>
      </c>
      <c r="I102">
        <v>185.08</v>
      </c>
      <c r="J102" t="str">
        <f t="shared" si="3"/>
        <v>NVDA|175|2025-12-05|CALL|OPEN</v>
      </c>
      <c r="K102" t="s">
        <v>14</v>
      </c>
    </row>
    <row r="103" spans="1:11" x14ac:dyDescent="0.25">
      <c r="A103" t="s">
        <v>11</v>
      </c>
      <c r="B103" s="1">
        <v>45995.50104166667</v>
      </c>
      <c r="C103" t="s">
        <v>15</v>
      </c>
      <c r="D103" t="s">
        <v>13</v>
      </c>
      <c r="E103">
        <v>2</v>
      </c>
      <c r="F103">
        <v>175</v>
      </c>
      <c r="G103" s="1">
        <v>45996</v>
      </c>
      <c r="H103">
        <v>8.68</v>
      </c>
      <c r="I103">
        <v>183.48</v>
      </c>
      <c r="J103" t="str">
        <f t="shared" si="3"/>
        <v>NVDA|175|2025-12-05|CALL|CLOSE</v>
      </c>
      <c r="K103" t="s">
        <v>14</v>
      </c>
    </row>
    <row r="104" spans="1:11" x14ac:dyDescent="0.25">
      <c r="A104" t="s">
        <v>11</v>
      </c>
      <c r="B104" s="1">
        <v>45995.504884259259</v>
      </c>
      <c r="C104" t="s">
        <v>12</v>
      </c>
      <c r="D104" t="s">
        <v>13</v>
      </c>
      <c r="E104">
        <v>4</v>
      </c>
      <c r="F104">
        <v>172.5</v>
      </c>
      <c r="G104" s="1">
        <v>46003</v>
      </c>
      <c r="H104">
        <v>12.03</v>
      </c>
      <c r="I104">
        <v>183.15</v>
      </c>
      <c r="J104" t="str">
        <f t="shared" si="3"/>
        <v>NVDA|172.5|2025-12-12|CALL|OPEN</v>
      </c>
      <c r="K104" t="s">
        <v>14</v>
      </c>
    </row>
    <row r="105" spans="1:11" x14ac:dyDescent="0.25">
      <c r="A105" t="s">
        <v>11</v>
      </c>
      <c r="B105" s="1">
        <v>45995.505162037043</v>
      </c>
      <c r="C105" t="s">
        <v>12</v>
      </c>
      <c r="D105" t="s">
        <v>13</v>
      </c>
      <c r="E105">
        <v>1</v>
      </c>
      <c r="F105">
        <v>172.5</v>
      </c>
      <c r="G105" s="1">
        <v>46003</v>
      </c>
      <c r="H105">
        <v>12</v>
      </c>
      <c r="I105">
        <v>183.15</v>
      </c>
      <c r="J105" t="str">
        <f t="shared" si="3"/>
        <v>NVDA|172.5|2025-12-12|CALL|OPEN</v>
      </c>
      <c r="K105" t="s">
        <v>14</v>
      </c>
    </row>
    <row r="106" spans="1:11" x14ac:dyDescent="0.25">
      <c r="A106" t="s">
        <v>11</v>
      </c>
      <c r="B106" s="1">
        <v>45995.510208333333</v>
      </c>
      <c r="C106" t="s">
        <v>15</v>
      </c>
      <c r="D106" t="s">
        <v>13</v>
      </c>
      <c r="E106">
        <v>2</v>
      </c>
      <c r="F106">
        <v>172.5</v>
      </c>
      <c r="G106" s="1">
        <v>46003</v>
      </c>
      <c r="H106">
        <v>12.3</v>
      </c>
      <c r="I106">
        <v>183.52</v>
      </c>
      <c r="J106" t="str">
        <f t="shared" si="3"/>
        <v>NVDA|172.5|2025-12-12|CALL|CLOSE</v>
      </c>
      <c r="K106" t="s">
        <v>14</v>
      </c>
    </row>
    <row r="107" spans="1:11" x14ac:dyDescent="0.25">
      <c r="A107" t="s">
        <v>11</v>
      </c>
      <c r="B107" s="1">
        <v>46001.599247685182</v>
      </c>
      <c r="C107" t="s">
        <v>15</v>
      </c>
      <c r="D107" t="s">
        <v>13</v>
      </c>
      <c r="E107">
        <v>3</v>
      </c>
      <c r="F107">
        <v>172.5</v>
      </c>
      <c r="G107" s="1">
        <v>46003</v>
      </c>
      <c r="H107">
        <v>11.5</v>
      </c>
      <c r="I107">
        <v>183.88</v>
      </c>
      <c r="J107" t="str">
        <f t="shared" si="3"/>
        <v>NVDA|172.5|2025-12-12|CALL|CLOSE</v>
      </c>
      <c r="K107" t="s">
        <v>14</v>
      </c>
    </row>
    <row r="108" spans="1:11" x14ac:dyDescent="0.25">
      <c r="A108" t="s">
        <v>11</v>
      </c>
      <c r="B108" s="1">
        <v>45995.510208333333</v>
      </c>
      <c r="C108" t="s">
        <v>12</v>
      </c>
      <c r="D108" t="s">
        <v>13</v>
      </c>
      <c r="E108">
        <v>2</v>
      </c>
      <c r="F108">
        <v>177.5</v>
      </c>
      <c r="G108" s="1">
        <v>46003</v>
      </c>
      <c r="H108">
        <v>8.3000000000000007</v>
      </c>
      <c r="I108">
        <v>183.52</v>
      </c>
      <c r="J108" t="str">
        <f t="shared" si="3"/>
        <v>NVDA|177.5|2025-12-12|CALL|OPEN</v>
      </c>
      <c r="K108" t="s">
        <v>14</v>
      </c>
    </row>
    <row r="109" spans="1:11" x14ac:dyDescent="0.25">
      <c r="A109" t="s">
        <v>11</v>
      </c>
      <c r="B109" s="1">
        <v>45995.510439814818</v>
      </c>
      <c r="C109" t="s">
        <v>12</v>
      </c>
      <c r="D109" t="s">
        <v>13</v>
      </c>
      <c r="E109">
        <v>2</v>
      </c>
      <c r="F109">
        <v>190</v>
      </c>
      <c r="G109" s="1">
        <v>46003</v>
      </c>
      <c r="H109">
        <v>8.1</v>
      </c>
      <c r="I109">
        <v>183.5</v>
      </c>
      <c r="J109" t="str">
        <f t="shared" si="3"/>
        <v>NVDA|190|2025-12-12|PUT|OPEN</v>
      </c>
      <c r="K109" t="s">
        <v>16</v>
      </c>
    </row>
    <row r="110" spans="1:11" x14ac:dyDescent="0.25">
      <c r="A110" t="s">
        <v>11</v>
      </c>
      <c r="B110" s="1">
        <v>46002.355555555558</v>
      </c>
      <c r="C110" t="s">
        <v>15</v>
      </c>
      <c r="D110" t="s">
        <v>13</v>
      </c>
      <c r="E110">
        <v>2</v>
      </c>
      <c r="F110">
        <v>190</v>
      </c>
      <c r="G110" s="1">
        <v>46003</v>
      </c>
      <c r="H110">
        <v>10.66</v>
      </c>
      <c r="I110">
        <v>179.58</v>
      </c>
      <c r="J110" t="str">
        <f t="shared" si="3"/>
        <v>NVDA|190|2025-12-12|PUT|CLOSE</v>
      </c>
      <c r="K110" t="s">
        <v>16</v>
      </c>
    </row>
    <row r="111" spans="1:11" x14ac:dyDescent="0.25">
      <c r="A111" t="s">
        <v>11</v>
      </c>
      <c r="B111" s="1">
        <v>46003.35833333333</v>
      </c>
      <c r="C111" t="s">
        <v>15</v>
      </c>
      <c r="D111" t="s">
        <v>13</v>
      </c>
      <c r="E111">
        <v>2</v>
      </c>
      <c r="F111">
        <v>177.5</v>
      </c>
      <c r="G111" s="1">
        <v>46003</v>
      </c>
      <c r="H111">
        <v>4.5599999999999996</v>
      </c>
      <c r="I111">
        <v>182</v>
      </c>
      <c r="J111" t="str">
        <f t="shared" si="3"/>
        <v>NVDA|177.5|2025-12-12|CALL|CLOSE</v>
      </c>
      <c r="K111" t="s">
        <v>14</v>
      </c>
    </row>
    <row r="112" spans="1:11" x14ac:dyDescent="0.25">
      <c r="A112" t="s">
        <v>11</v>
      </c>
      <c r="B112" s="1">
        <v>46001.599247685182</v>
      </c>
      <c r="C112" t="s">
        <v>12</v>
      </c>
      <c r="D112" t="s">
        <v>13</v>
      </c>
      <c r="E112">
        <v>3</v>
      </c>
      <c r="F112">
        <v>178</v>
      </c>
      <c r="G112" s="1">
        <v>46010</v>
      </c>
      <c r="H112">
        <v>8.27</v>
      </c>
      <c r="I112">
        <v>183.88</v>
      </c>
      <c r="J112" t="str">
        <f t="shared" si="3"/>
        <v>NVDA|178|2025-12-19|CALL|OPEN</v>
      </c>
      <c r="K112" t="s">
        <v>14</v>
      </c>
    </row>
    <row r="113" spans="1:11" x14ac:dyDescent="0.25">
      <c r="A113" t="s">
        <v>11</v>
      </c>
      <c r="B113" s="1">
        <v>46002.355555555558</v>
      </c>
      <c r="C113" t="s">
        <v>12</v>
      </c>
      <c r="D113" t="s">
        <v>13</v>
      </c>
      <c r="E113">
        <v>2</v>
      </c>
      <c r="F113">
        <v>186</v>
      </c>
      <c r="G113" s="1">
        <v>46010</v>
      </c>
      <c r="H113">
        <v>8.1999999999999993</v>
      </c>
      <c r="I113">
        <v>179.58</v>
      </c>
      <c r="J113" t="str">
        <f t="shared" si="3"/>
        <v>NVDA|186|2025-12-19|PUT|OPEN</v>
      </c>
      <c r="K113" t="s">
        <v>16</v>
      </c>
    </row>
    <row r="114" spans="1:11" x14ac:dyDescent="0.25">
      <c r="A114" t="s">
        <v>11</v>
      </c>
      <c r="B114" s="1">
        <v>46003.357638888891</v>
      </c>
      <c r="C114" t="s">
        <v>15</v>
      </c>
      <c r="D114" t="s">
        <v>13</v>
      </c>
      <c r="E114">
        <v>3</v>
      </c>
      <c r="F114">
        <v>178</v>
      </c>
      <c r="G114" s="1">
        <v>46010</v>
      </c>
      <c r="H114">
        <v>6.18</v>
      </c>
      <c r="I114">
        <v>181.93</v>
      </c>
      <c r="J114" t="str">
        <f t="shared" si="3"/>
        <v>NVDA|178|2025-12-19|CALL|CLOSE</v>
      </c>
      <c r="K114" t="s">
        <v>14</v>
      </c>
    </row>
    <row r="115" spans="1:11" x14ac:dyDescent="0.25">
      <c r="A115" t="s">
        <v>11</v>
      </c>
      <c r="B115" s="1">
        <v>46003.35833333333</v>
      </c>
      <c r="C115" t="s">
        <v>15</v>
      </c>
      <c r="D115" t="s">
        <v>13</v>
      </c>
      <c r="E115">
        <v>2</v>
      </c>
      <c r="F115">
        <v>186</v>
      </c>
      <c r="G115" s="1">
        <v>46010</v>
      </c>
      <c r="H115">
        <v>5.86</v>
      </c>
      <c r="I115">
        <v>182</v>
      </c>
      <c r="J115" t="str">
        <f t="shared" si="3"/>
        <v>NVDA|186|2025-12-19|PUT|CLOSE</v>
      </c>
      <c r="K115" t="s">
        <v>16</v>
      </c>
    </row>
    <row r="116" spans="1:11" x14ac:dyDescent="0.25">
      <c r="A116" t="s">
        <v>11</v>
      </c>
      <c r="B116" s="1">
        <v>46003.357638888891</v>
      </c>
      <c r="C116" t="s">
        <v>12</v>
      </c>
      <c r="D116" t="s">
        <v>13</v>
      </c>
      <c r="E116">
        <v>3</v>
      </c>
      <c r="F116">
        <v>177</v>
      </c>
      <c r="G116" s="1">
        <v>46010</v>
      </c>
      <c r="H116">
        <v>6.88</v>
      </c>
      <c r="I116">
        <v>181.93</v>
      </c>
      <c r="J116" t="str">
        <f t="shared" si="3"/>
        <v>NVDA|177|2025-12-19|CALL|OPEN</v>
      </c>
      <c r="K116" t="s">
        <v>14</v>
      </c>
    </row>
    <row r="117" spans="1:11" x14ac:dyDescent="0.25">
      <c r="A117" t="s">
        <v>11</v>
      </c>
      <c r="B117" s="1">
        <v>46003.35833333333</v>
      </c>
      <c r="C117" t="s">
        <v>12</v>
      </c>
      <c r="D117" t="s">
        <v>13</v>
      </c>
      <c r="E117">
        <v>2</v>
      </c>
      <c r="F117">
        <v>180</v>
      </c>
      <c r="G117" s="1">
        <v>46010</v>
      </c>
      <c r="H117">
        <v>4.76</v>
      </c>
      <c r="I117">
        <v>182</v>
      </c>
      <c r="J117" t="str">
        <f t="shared" si="3"/>
        <v>NVDA|180|2025-12-19|CALL|OPEN</v>
      </c>
      <c r="K117" t="s">
        <v>14</v>
      </c>
    </row>
    <row r="118" spans="1:11" x14ac:dyDescent="0.25">
      <c r="A118" t="s">
        <v>11</v>
      </c>
      <c r="B118" s="1">
        <v>46003.35833333333</v>
      </c>
      <c r="C118" t="s">
        <v>12</v>
      </c>
      <c r="D118" t="s">
        <v>13</v>
      </c>
      <c r="E118">
        <v>2</v>
      </c>
      <c r="F118">
        <v>185</v>
      </c>
      <c r="G118" s="1">
        <v>46010</v>
      </c>
      <c r="H118">
        <v>5.18</v>
      </c>
      <c r="I118">
        <v>182</v>
      </c>
      <c r="J118" t="str">
        <f t="shared" si="3"/>
        <v>NVDA|185|2025-12-19|PUT|OPEN</v>
      </c>
      <c r="K118" t="s">
        <v>16</v>
      </c>
    </row>
    <row r="119" spans="1:11" x14ac:dyDescent="0.25">
      <c r="A119" t="s">
        <v>11</v>
      </c>
      <c r="B119" s="1">
        <v>46003.398611111108</v>
      </c>
      <c r="C119" t="s">
        <v>15</v>
      </c>
      <c r="D119" t="s">
        <v>13</v>
      </c>
      <c r="E119">
        <v>2</v>
      </c>
      <c r="F119">
        <v>185</v>
      </c>
      <c r="G119" s="1">
        <v>46010</v>
      </c>
      <c r="H119">
        <v>7.07</v>
      </c>
      <c r="I119">
        <v>179.59</v>
      </c>
      <c r="J119" t="str">
        <f t="shared" si="3"/>
        <v>NVDA|185|2025-12-19|PUT|CLOSE</v>
      </c>
      <c r="K119" t="s">
        <v>16</v>
      </c>
    </row>
    <row r="120" spans="1:11" x14ac:dyDescent="0.25">
      <c r="A120" t="s">
        <v>11</v>
      </c>
      <c r="B120" s="1">
        <v>46003.428472222222</v>
      </c>
      <c r="C120" t="s">
        <v>15</v>
      </c>
      <c r="D120" t="s">
        <v>13</v>
      </c>
      <c r="E120">
        <v>2</v>
      </c>
      <c r="F120">
        <v>180</v>
      </c>
      <c r="G120" s="1">
        <v>46010</v>
      </c>
      <c r="H120">
        <v>2.54</v>
      </c>
      <c r="I120">
        <v>176.84</v>
      </c>
      <c r="J120" t="str">
        <f t="shared" si="3"/>
        <v>NVDA|180|2025-12-19|CALL|CLOSE</v>
      </c>
      <c r="K120" t="s">
        <v>14</v>
      </c>
    </row>
    <row r="121" spans="1:11" x14ac:dyDescent="0.25">
      <c r="A121" t="s">
        <v>11</v>
      </c>
      <c r="B121" s="1">
        <v>46003.428472222222</v>
      </c>
      <c r="C121" t="s">
        <v>12</v>
      </c>
      <c r="D121" t="s">
        <v>13</v>
      </c>
      <c r="E121">
        <v>2</v>
      </c>
      <c r="F121">
        <v>175</v>
      </c>
      <c r="G121" s="1">
        <v>46010</v>
      </c>
      <c r="H121">
        <v>5.0599999999999996</v>
      </c>
      <c r="I121">
        <v>176.84</v>
      </c>
      <c r="J121" t="str">
        <f t="shared" si="3"/>
        <v>NVDA|175|2025-12-19|CALL|OPEN</v>
      </c>
      <c r="K121" t="s">
        <v>14</v>
      </c>
    </row>
    <row r="122" spans="1:11" x14ac:dyDescent="0.25">
      <c r="A122" t="s">
        <v>11</v>
      </c>
      <c r="B122" s="1">
        <v>46003.398611111108</v>
      </c>
      <c r="C122" t="s">
        <v>12</v>
      </c>
      <c r="D122" t="s">
        <v>13</v>
      </c>
      <c r="E122">
        <v>2</v>
      </c>
      <c r="F122">
        <v>183</v>
      </c>
      <c r="G122" s="1">
        <v>46010</v>
      </c>
      <c r="H122">
        <v>5.67</v>
      </c>
      <c r="I122">
        <v>179.59</v>
      </c>
      <c r="J122" t="str">
        <f t="shared" si="3"/>
        <v>NVDA|183|2025-12-19|PUT|OPEN</v>
      </c>
      <c r="K122" t="s">
        <v>16</v>
      </c>
    </row>
    <row r="123" spans="1:11" x14ac:dyDescent="0.25">
      <c r="A123" t="s">
        <v>11</v>
      </c>
      <c r="B123" s="1">
        <v>46006.356944444437</v>
      </c>
      <c r="C123" t="s">
        <v>15</v>
      </c>
      <c r="D123" t="s">
        <v>13</v>
      </c>
      <c r="E123">
        <v>2</v>
      </c>
      <c r="F123">
        <v>183</v>
      </c>
      <c r="G123" s="1">
        <v>46010</v>
      </c>
      <c r="H123">
        <v>6.71</v>
      </c>
      <c r="I123">
        <v>177.19</v>
      </c>
      <c r="J123" t="str">
        <f t="shared" si="3"/>
        <v>NVDA|183|2025-12-19|PUT|CLOSE</v>
      </c>
      <c r="K123" t="s">
        <v>16</v>
      </c>
    </row>
    <row r="124" spans="1:11" x14ac:dyDescent="0.25">
      <c r="A124" t="s">
        <v>11</v>
      </c>
      <c r="B124" s="1">
        <v>46006.356944444437</v>
      </c>
      <c r="C124" t="s">
        <v>12</v>
      </c>
      <c r="D124" t="s">
        <v>13</v>
      </c>
      <c r="E124">
        <v>2</v>
      </c>
      <c r="F124">
        <v>181</v>
      </c>
      <c r="G124" s="1">
        <v>46010</v>
      </c>
      <c r="H124">
        <v>5.28</v>
      </c>
      <c r="I124">
        <v>177.19</v>
      </c>
      <c r="J124" t="str">
        <f t="shared" si="3"/>
        <v>NVDA|181|2025-12-19|PUT|OPEN</v>
      </c>
      <c r="K124" t="s">
        <v>16</v>
      </c>
    </row>
    <row r="125" spans="1:11" x14ac:dyDescent="0.25">
      <c r="A125" t="s">
        <v>11</v>
      </c>
      <c r="B125" s="1">
        <v>46006.39166666667</v>
      </c>
      <c r="C125" t="s">
        <v>15</v>
      </c>
      <c r="D125" t="s">
        <v>13</v>
      </c>
      <c r="E125">
        <v>3</v>
      </c>
      <c r="F125">
        <v>177</v>
      </c>
      <c r="G125" s="1">
        <v>46010</v>
      </c>
      <c r="H125">
        <v>2.85</v>
      </c>
      <c r="I125">
        <v>176.1</v>
      </c>
      <c r="J125" t="str">
        <f t="shared" si="3"/>
        <v>NVDA|177|2025-12-19|CALL|CLOSE</v>
      </c>
      <c r="K125" t="s">
        <v>14</v>
      </c>
    </row>
    <row r="126" spans="1:11" x14ac:dyDescent="0.25">
      <c r="A126" t="s">
        <v>11</v>
      </c>
      <c r="B126" s="1">
        <v>46006.39166666667</v>
      </c>
      <c r="C126" t="s">
        <v>12</v>
      </c>
      <c r="D126" t="s">
        <v>13</v>
      </c>
      <c r="E126">
        <v>3</v>
      </c>
      <c r="F126">
        <v>172.5</v>
      </c>
      <c r="G126" s="1">
        <v>46010</v>
      </c>
      <c r="H126">
        <v>5.46</v>
      </c>
      <c r="I126">
        <v>176.1</v>
      </c>
      <c r="J126" t="str">
        <f t="shared" si="3"/>
        <v>NVDA|172.5|2025-12-19|CALL|OPEN</v>
      </c>
      <c r="K126" t="s">
        <v>14</v>
      </c>
    </row>
    <row r="127" spans="1:11" x14ac:dyDescent="0.25">
      <c r="A127" t="s">
        <v>11</v>
      </c>
      <c r="B127" s="1">
        <v>46007.363194444442</v>
      </c>
      <c r="C127" t="s">
        <v>15</v>
      </c>
      <c r="D127" t="s">
        <v>13</v>
      </c>
      <c r="E127">
        <v>2</v>
      </c>
      <c r="F127">
        <v>181</v>
      </c>
      <c r="G127" s="1">
        <v>46010</v>
      </c>
      <c r="H127">
        <v>6.4</v>
      </c>
      <c r="I127">
        <v>175.47</v>
      </c>
      <c r="J127" t="str">
        <f t="shared" si="3"/>
        <v>NVDA|181|2025-12-19|PUT|CLOSE</v>
      </c>
      <c r="K127" t="s">
        <v>16</v>
      </c>
    </row>
    <row r="128" spans="1:11" x14ac:dyDescent="0.25">
      <c r="A128" t="s">
        <v>11</v>
      </c>
      <c r="B128" s="1">
        <v>46007.363194444442</v>
      </c>
      <c r="C128" t="s">
        <v>12</v>
      </c>
      <c r="D128" t="s">
        <v>13</v>
      </c>
      <c r="E128">
        <v>2</v>
      </c>
      <c r="F128">
        <v>178</v>
      </c>
      <c r="G128" s="1">
        <v>46010</v>
      </c>
      <c r="H128">
        <v>4.3</v>
      </c>
      <c r="I128">
        <v>175.47</v>
      </c>
      <c r="J128" t="str">
        <f t="shared" si="3"/>
        <v>NVDA|178|2025-12-19|PUT|OPEN</v>
      </c>
      <c r="K128" t="s">
        <v>16</v>
      </c>
    </row>
    <row r="129" spans="1:11" x14ac:dyDescent="0.25">
      <c r="A129" t="s">
        <v>11</v>
      </c>
      <c r="B129" s="1">
        <v>46007.363888888889</v>
      </c>
      <c r="C129" t="s">
        <v>15</v>
      </c>
      <c r="D129" t="s">
        <v>13</v>
      </c>
      <c r="E129">
        <v>2</v>
      </c>
      <c r="F129">
        <v>175</v>
      </c>
      <c r="G129" s="1">
        <v>46010</v>
      </c>
      <c r="H129">
        <v>3.28</v>
      </c>
      <c r="I129">
        <v>175.51</v>
      </c>
      <c r="J129" t="str">
        <f t="shared" si="3"/>
        <v>NVDA|175|2025-12-19|CALL|CLOSE</v>
      </c>
      <c r="K129" t="s">
        <v>14</v>
      </c>
    </row>
    <row r="130" spans="1:11" x14ac:dyDescent="0.25">
      <c r="A130" t="s">
        <v>11</v>
      </c>
      <c r="B130" s="1">
        <v>46007.363888888889</v>
      </c>
      <c r="C130" t="s">
        <v>12</v>
      </c>
      <c r="D130" t="s">
        <v>13</v>
      </c>
      <c r="E130">
        <v>2</v>
      </c>
      <c r="F130">
        <v>173</v>
      </c>
      <c r="G130" s="1">
        <v>46010</v>
      </c>
      <c r="H130">
        <v>4.5</v>
      </c>
      <c r="I130">
        <v>175.51</v>
      </c>
      <c r="J130" t="str">
        <f t="shared" ref="J130:J139" si="4">UPPER(D130) &amp; "|" &amp; IF(F130="","",IF(MOD(F130,1)=0,TEXT(F130,"0"),TEXT(F130,"0.################"))) &amp; "|" &amp; TEXT(G130,"yyyy-mm-dd") &amp; "|" &amp; IF(K130="", "CALL", UPPER(K130)) &amp; "|" &amp; IF(C130="", "OPEN", UPPER(C130))</f>
        <v>NVDA|173|2025-12-19|CALL|OPEN</v>
      </c>
      <c r="K130" t="s">
        <v>14</v>
      </c>
    </row>
    <row r="131" spans="1:11" x14ac:dyDescent="0.25">
      <c r="A131" t="s">
        <v>11</v>
      </c>
      <c r="B131" s="1">
        <v>46008.407638888893</v>
      </c>
      <c r="C131" t="s">
        <v>15</v>
      </c>
      <c r="D131" t="s">
        <v>13</v>
      </c>
      <c r="E131">
        <v>3</v>
      </c>
      <c r="F131">
        <v>172.5</v>
      </c>
      <c r="G131" s="1">
        <v>46010</v>
      </c>
      <c r="H131">
        <v>2.46</v>
      </c>
      <c r="I131">
        <v>172.34</v>
      </c>
      <c r="J131" t="str">
        <f t="shared" si="4"/>
        <v>NVDA|172.5|2025-12-19|CALL|CLOSE</v>
      </c>
      <c r="K131" t="s">
        <v>14</v>
      </c>
    </row>
    <row r="132" spans="1:11" x14ac:dyDescent="0.25">
      <c r="A132" t="s">
        <v>11</v>
      </c>
      <c r="B132" s="1">
        <v>46008.407638888893</v>
      </c>
      <c r="C132" t="s">
        <v>12</v>
      </c>
      <c r="D132" t="s">
        <v>13</v>
      </c>
      <c r="E132">
        <v>3</v>
      </c>
      <c r="F132">
        <v>168</v>
      </c>
      <c r="G132" s="1">
        <v>46010</v>
      </c>
      <c r="H132">
        <v>5.4</v>
      </c>
      <c r="I132">
        <v>172.34</v>
      </c>
      <c r="J132" t="str">
        <f t="shared" si="4"/>
        <v>NVDA|168|2025-12-19|CALL|OPEN</v>
      </c>
      <c r="K132" t="s">
        <v>14</v>
      </c>
    </row>
    <row r="133" spans="1:11" x14ac:dyDescent="0.25">
      <c r="A133" t="s">
        <v>11</v>
      </c>
      <c r="B133" s="1">
        <v>46008.408333333333</v>
      </c>
      <c r="C133" t="s">
        <v>15</v>
      </c>
      <c r="D133" t="s">
        <v>13</v>
      </c>
      <c r="E133">
        <v>2</v>
      </c>
      <c r="F133">
        <v>173</v>
      </c>
      <c r="G133" s="1">
        <v>46010</v>
      </c>
      <c r="H133">
        <v>2.34</v>
      </c>
      <c r="I133">
        <v>172.63</v>
      </c>
      <c r="J133" t="str">
        <f t="shared" si="4"/>
        <v>NVDA|173|2025-12-19|CALL|CLOSE</v>
      </c>
      <c r="K133" t="s">
        <v>14</v>
      </c>
    </row>
    <row r="134" spans="1:11" x14ac:dyDescent="0.25">
      <c r="A134" t="s">
        <v>11</v>
      </c>
      <c r="B134" s="1">
        <v>46008.408333333333</v>
      </c>
      <c r="C134" t="s">
        <v>12</v>
      </c>
      <c r="D134" t="s">
        <v>13</v>
      </c>
      <c r="E134">
        <v>2</v>
      </c>
      <c r="F134">
        <v>169</v>
      </c>
      <c r="G134" s="1">
        <v>46010</v>
      </c>
      <c r="H134">
        <v>4.87</v>
      </c>
      <c r="I134">
        <v>172.63</v>
      </c>
      <c r="J134" t="str">
        <f t="shared" si="4"/>
        <v>NVDA|169|2025-12-19|CALL|OPEN</v>
      </c>
      <c r="K134" t="s">
        <v>14</v>
      </c>
    </row>
    <row r="135" spans="1:11" x14ac:dyDescent="0.25">
      <c r="A135" t="s">
        <v>11</v>
      </c>
      <c r="B135" s="1">
        <v>46008.408333333333</v>
      </c>
      <c r="C135" t="s">
        <v>15</v>
      </c>
      <c r="D135" t="s">
        <v>13</v>
      </c>
      <c r="E135">
        <v>2</v>
      </c>
      <c r="F135">
        <v>178</v>
      </c>
      <c r="G135" s="1">
        <v>46010</v>
      </c>
      <c r="H135">
        <v>5.82</v>
      </c>
      <c r="I135">
        <v>172.63</v>
      </c>
      <c r="J135" t="str">
        <f t="shared" si="4"/>
        <v>NVDA|178|2025-12-19|PUT|CLOSE</v>
      </c>
      <c r="K135" t="s">
        <v>16</v>
      </c>
    </row>
    <row r="136" spans="1:11" x14ac:dyDescent="0.25">
      <c r="A136" t="s">
        <v>11</v>
      </c>
      <c r="B136" s="1">
        <v>46008.408333333333</v>
      </c>
      <c r="C136" t="s">
        <v>12</v>
      </c>
      <c r="D136" t="s">
        <v>13</v>
      </c>
      <c r="E136">
        <v>2</v>
      </c>
      <c r="F136">
        <v>176</v>
      </c>
      <c r="G136" s="1">
        <v>46010</v>
      </c>
      <c r="H136">
        <v>4.29</v>
      </c>
      <c r="I136">
        <v>172.63</v>
      </c>
      <c r="J136" t="str">
        <f t="shared" si="4"/>
        <v>NVDA|176|2025-12-19|PUT|OPEN</v>
      </c>
      <c r="K136" t="s">
        <v>16</v>
      </c>
    </row>
    <row r="137" spans="1:11" x14ac:dyDescent="0.25">
      <c r="A137" t="s">
        <v>11</v>
      </c>
      <c r="B137" s="1">
        <v>46009.406944444447</v>
      </c>
      <c r="C137" t="s">
        <v>15</v>
      </c>
      <c r="D137" t="s">
        <v>13</v>
      </c>
      <c r="E137">
        <v>3</v>
      </c>
      <c r="F137">
        <v>168</v>
      </c>
      <c r="G137" s="1">
        <v>46010</v>
      </c>
      <c r="H137">
        <v>7.8</v>
      </c>
      <c r="I137">
        <v>175.58</v>
      </c>
      <c r="J137" t="str">
        <f t="shared" si="4"/>
        <v>NVDA|168|2025-12-19|CALL|CLOSE</v>
      </c>
      <c r="K137" t="s">
        <v>14</v>
      </c>
    </row>
    <row r="138" spans="1:11" x14ac:dyDescent="0.25">
      <c r="A138" t="s">
        <v>11</v>
      </c>
      <c r="B138" s="1">
        <v>46009.413194444453</v>
      </c>
      <c r="C138" t="s">
        <v>15</v>
      </c>
      <c r="D138" t="s">
        <v>13</v>
      </c>
      <c r="E138">
        <v>2</v>
      </c>
      <c r="F138">
        <v>169</v>
      </c>
      <c r="G138" s="1">
        <v>46010</v>
      </c>
      <c r="H138">
        <v>7.1</v>
      </c>
      <c r="I138">
        <v>175.78</v>
      </c>
      <c r="J138" t="str">
        <f t="shared" si="4"/>
        <v>NVDA|169|2025-12-19|CALL|CLOSE</v>
      </c>
      <c r="K138" t="s">
        <v>14</v>
      </c>
    </row>
    <row r="139" spans="1:11" x14ac:dyDescent="0.25">
      <c r="A139" t="s">
        <v>11</v>
      </c>
      <c r="B139" s="1">
        <v>46010.368055555547</v>
      </c>
      <c r="C139" t="s">
        <v>15</v>
      </c>
      <c r="D139" t="s">
        <v>13</v>
      </c>
      <c r="E139">
        <v>2</v>
      </c>
      <c r="F139">
        <v>176</v>
      </c>
      <c r="G139" s="1">
        <v>46010</v>
      </c>
      <c r="H139">
        <v>0.17</v>
      </c>
      <c r="I139">
        <v>179.5</v>
      </c>
      <c r="J139" t="str">
        <f t="shared" si="4"/>
        <v>NVDA|176|2025-12-19|PUT|CLOSE</v>
      </c>
      <c r="K139" t="s">
        <v>16</v>
      </c>
    </row>
  </sheetData>
  <autoFilter ref="A1:J139" xr:uid="{00000000-0009-0000-0000-000000000000}">
    <sortState xmlns:xlrd2="http://schemas.microsoft.com/office/spreadsheetml/2017/richdata2" ref="A2:J139">
      <sortCondition ref="G1:G1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Blessing,Travis</cp:lastModifiedBy>
  <dcterms:created xsi:type="dcterms:W3CDTF">2025-09-29T19:46:21Z</dcterms:created>
  <dcterms:modified xsi:type="dcterms:W3CDTF">2025-12-21T12:02:58Z</dcterms:modified>
</cp:coreProperties>
</file>
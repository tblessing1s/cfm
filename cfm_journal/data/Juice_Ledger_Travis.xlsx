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4735" yWindow="6585" windowWidth="22980" windowHeight="12195" tabRatio="600" firstSheet="0" activeTab="0" autoFilterDateGrouping="1"/>
  </bookViews>
  <sheets>
    <sheet name="Ledger" sheetId="1" state="visible" r:id="rId1"/>
  </sheets>
  <definedNames>
    <definedName name="_xlnm._FilterDatabase" localSheetId="0" hidden="1">'Ledger'!$A$1:$J$88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"/>
  <sheetViews>
    <sheetView tabSelected="1" topLeftCell="A64" workbookViewId="0">
      <selection activeCell="L88" sqref="L88"/>
    </sheetView>
  </sheetViews>
  <sheetFormatPr baseColWidth="8" defaultRowHeight="15"/>
  <cols>
    <col width="18.7109375" customWidth="1" min="1" max="2"/>
    <col width="9" bestFit="1" customWidth="1" min="3" max="3"/>
    <col width="9.85546875" bestFit="1" customWidth="1" min="4" max="4"/>
    <col width="11.5703125" bestFit="1" customWidth="1" min="5" max="5"/>
    <col width="8.42578125" bestFit="1" customWidth="1" min="6" max="6"/>
    <col width="18.7109375" customWidth="1" min="7" max="9"/>
    <col width="34.7109375" bestFit="1" customWidth="1" min="10" max="10"/>
  </cols>
  <sheetData>
    <row r="1">
      <c r="A1" t="inlineStr">
        <is>
          <t>Account</t>
        </is>
      </c>
      <c r="B1" t="inlineStr">
        <is>
          <t>Date</t>
        </is>
      </c>
      <c r="C1" t="inlineStr">
        <is>
          <t>Action</t>
        </is>
      </c>
      <c r="D1" t="inlineStr">
        <is>
          <t>Symbol</t>
        </is>
      </c>
      <c r="E1" t="inlineStr">
        <is>
          <t>Contracts</t>
        </is>
      </c>
      <c r="F1" t="inlineStr">
        <is>
          <t>Strike</t>
        </is>
      </c>
      <c r="G1" t="inlineStr">
        <is>
          <t>Expiry</t>
        </is>
      </c>
      <c r="H1" t="inlineStr">
        <is>
          <t>Premium/Buyback</t>
        </is>
      </c>
      <c r="I1" t="inlineStr">
        <is>
          <t>Underlying</t>
        </is>
      </c>
      <c r="J1" t="inlineStr">
        <is>
          <t>Key</t>
        </is>
      </c>
      <c r="K1" t="inlineStr">
        <is>
          <t>Side</t>
        </is>
      </c>
      <c r="L1" t="inlineStr">
        <is>
          <t>Base Position Id</t>
        </is>
      </c>
      <c r="M1" t="inlineStr">
        <is>
          <t>Base Leg Id</t>
        </is>
      </c>
    </row>
    <row r="2">
      <c r="A2" t="inlineStr">
        <is>
          <t>Travis</t>
        </is>
      </c>
      <c r="B2" s="1" t="n">
        <v>45923.42361111111</v>
      </c>
      <c r="C2" t="inlineStr">
        <is>
          <t>OPEN</t>
        </is>
      </c>
      <c r="D2" t="inlineStr">
        <is>
          <t>NVDA</t>
        </is>
      </c>
      <c r="E2" t="n">
        <v>1</v>
      </c>
      <c r="F2" t="n">
        <v>175</v>
      </c>
      <c r="G2" s="1" t="n">
        <v>45926</v>
      </c>
      <c r="H2" t="n">
        <v>6.31</v>
      </c>
      <c r="I2" t="n">
        <v>180.25</v>
      </c>
      <c r="J2">
        <f>UPPER(D2) &amp; "|" &amp; IF(F2="","",IF(MOD(F2,1)=0,TEXT(F2,"0"),TEXT(F2,"0.################"))) &amp; "|" &amp; TEXT(G2,"yyyy-mm-dd") &amp; "|" &amp; IF(K2="", "CALL", UPPER(K2)) &amp; "|" &amp; IF(C2="", "OPEN", UPPER(C2))</f>
        <v/>
      </c>
      <c r="K2" t="inlineStr">
        <is>
          <t>Call</t>
        </is>
      </c>
    </row>
    <row r="3">
      <c r="A3" t="inlineStr">
        <is>
          <t>Travis</t>
        </is>
      </c>
      <c r="B3" s="1" t="n">
        <v>45925.36388888889</v>
      </c>
      <c r="C3" t="inlineStr">
        <is>
          <t>CLOSE</t>
        </is>
      </c>
      <c r="D3" t="inlineStr">
        <is>
          <t>NVDA</t>
        </is>
      </c>
      <c r="E3" t="n">
        <v>1</v>
      </c>
      <c r="F3" t="n">
        <v>175</v>
      </c>
      <c r="G3" s="1" t="n">
        <v>45926</v>
      </c>
      <c r="H3" t="n">
        <v>1.12</v>
      </c>
      <c r="I3" t="n">
        <v>173.49</v>
      </c>
      <c r="J3">
        <f>UPPER(D3) &amp; "|" &amp; IF(F3="","",IF(MOD(F3,1)=0,TEXT(F3,"0"),TEXT(F3,"0.################"))) &amp; "|" &amp; TEXT(G3,"yyyy-mm-dd") &amp; "|" &amp; IF(K3="", "CALL", UPPER(K3)) &amp; "|" &amp; IF(C3="", "OPEN", UPPER(C3))</f>
        <v/>
      </c>
      <c r="K3" t="inlineStr">
        <is>
          <t>Call</t>
        </is>
      </c>
    </row>
    <row r="4">
      <c r="A4" t="inlineStr">
        <is>
          <t>Travis</t>
        </is>
      </c>
      <c r="B4" s="1" t="n">
        <v>45925.36388888889</v>
      </c>
      <c r="C4" t="inlineStr">
        <is>
          <t>OPEN</t>
        </is>
      </c>
      <c r="D4" t="inlineStr">
        <is>
          <t>NVDA</t>
        </is>
      </c>
      <c r="E4" t="n">
        <v>1</v>
      </c>
      <c r="F4" t="n">
        <v>162.5</v>
      </c>
      <c r="G4" s="1" t="n">
        <v>45933</v>
      </c>
      <c r="H4" t="n">
        <v>11.75</v>
      </c>
      <c r="I4" t="n">
        <v>173.49</v>
      </c>
      <c r="J4">
        <f>UPPER(D4) &amp; "|" &amp; IF(F4="","",IF(MOD(F4,1)=0,TEXT(F4,"0"),TEXT(F4,"0.################"))) &amp; "|" &amp; TEXT(G4,"yyyy-mm-dd") &amp; "|" &amp; IF(K4="", "CALL", UPPER(K4)) &amp; "|" &amp; IF(C4="", "OPEN", UPPER(C4))</f>
        <v/>
      </c>
      <c r="K4" t="inlineStr">
        <is>
          <t>Call</t>
        </is>
      </c>
    </row>
    <row r="5">
      <c r="A5" t="inlineStr">
        <is>
          <t>Travis</t>
        </is>
      </c>
      <c r="B5" s="1" t="n">
        <v>45929.37430555555</v>
      </c>
      <c r="C5" t="inlineStr">
        <is>
          <t>CLOSE</t>
        </is>
      </c>
      <c r="D5" t="inlineStr">
        <is>
          <t>NVDA</t>
        </is>
      </c>
      <c r="E5" t="n">
        <v>1</v>
      </c>
      <c r="F5" t="n">
        <v>162.5</v>
      </c>
      <c r="G5" s="1" t="n">
        <v>45933</v>
      </c>
      <c r="H5" t="n">
        <v>20.85</v>
      </c>
      <c r="I5" t="n">
        <v>183.06</v>
      </c>
      <c r="J5">
        <f>UPPER(D5) &amp; "|" &amp; IF(F5="","",IF(MOD(F5,1)=0,TEXT(F5,"0"),TEXT(F5,"0.################"))) &amp; "|" &amp; TEXT(G5,"yyyy-mm-dd") &amp; "|" &amp; IF(K5="", "CALL", UPPER(K5)) &amp; "|" &amp; IF(C5="", "OPEN", UPPER(C5))</f>
        <v/>
      </c>
      <c r="K5" t="inlineStr">
        <is>
          <t>Call</t>
        </is>
      </c>
    </row>
    <row r="6">
      <c r="A6" t="inlineStr">
        <is>
          <t>Travis</t>
        </is>
      </c>
      <c r="B6" s="1" t="n">
        <v>45929.37430555555</v>
      </c>
      <c r="C6" t="inlineStr">
        <is>
          <t>OPEN</t>
        </is>
      </c>
      <c r="D6" t="inlineStr">
        <is>
          <t>NVDA</t>
        </is>
      </c>
      <c r="E6" t="n">
        <v>1</v>
      </c>
      <c r="F6" t="n">
        <v>177.5</v>
      </c>
      <c r="G6" s="1" t="n">
        <v>45933</v>
      </c>
      <c r="H6" t="n">
        <v>6.68</v>
      </c>
      <c r="I6" t="n">
        <v>183.06</v>
      </c>
      <c r="J6">
        <f>UPPER(D6) &amp; "|" &amp; IF(F6="","",IF(MOD(F6,1)=0,TEXT(F6,"0"),TEXT(F6,"0.################"))) &amp; "|" &amp; TEXT(G6,"yyyy-mm-dd") &amp; "|" &amp; IF(K6="", "CALL", UPPER(K6)) &amp; "|" &amp; IF(C6="", "OPEN", UPPER(C6))</f>
        <v/>
      </c>
      <c r="K6" t="inlineStr">
        <is>
          <t>Call</t>
        </is>
      </c>
    </row>
    <row r="7">
      <c r="A7" t="inlineStr">
        <is>
          <t>Travis</t>
        </is>
      </c>
      <c r="B7" s="1" t="n">
        <v>45932.40416666667</v>
      </c>
      <c r="C7" t="inlineStr">
        <is>
          <t>CLOSE</t>
        </is>
      </c>
      <c r="D7" t="inlineStr">
        <is>
          <t>NVDA</t>
        </is>
      </c>
      <c r="E7" t="n">
        <v>1</v>
      </c>
      <c r="F7" t="n">
        <v>177.5</v>
      </c>
      <c r="G7" s="1" t="n">
        <v>45933</v>
      </c>
      <c r="H7" t="n">
        <v>12.44</v>
      </c>
      <c r="I7" t="n">
        <v>189.79</v>
      </c>
      <c r="J7">
        <f>UPPER(D7) &amp; "|" &amp; IF(F7="","",IF(MOD(F7,1)=0,TEXT(F7,"0"),TEXT(F7,"0.################"))) &amp; "|" &amp; TEXT(G7,"yyyy-mm-dd") &amp; "|" &amp; IF(K7="", "CALL", UPPER(K7)) &amp; "|" &amp; IF(C7="", "OPEN", UPPER(C7))</f>
        <v/>
      </c>
      <c r="K7" t="inlineStr">
        <is>
          <t>Call</t>
        </is>
      </c>
    </row>
    <row r="8">
      <c r="A8" t="inlineStr">
        <is>
          <t>Travis</t>
        </is>
      </c>
      <c r="B8" s="1" t="n">
        <v>45929.37430555555</v>
      </c>
      <c r="C8" t="inlineStr">
        <is>
          <t>OPEN</t>
        </is>
      </c>
      <c r="D8" t="inlineStr">
        <is>
          <t>NVDA</t>
        </is>
      </c>
      <c r="E8" t="n">
        <v>1</v>
      </c>
      <c r="F8" t="n">
        <v>177.5</v>
      </c>
      <c r="G8" s="1" t="n">
        <v>45940</v>
      </c>
      <c r="H8" t="n">
        <v>8</v>
      </c>
      <c r="I8" t="n">
        <v>183.06</v>
      </c>
      <c r="J8">
        <f>UPPER(D8) &amp; "|" &amp; IF(F8="","",IF(MOD(F8,1)=0,TEXT(F8,"0"),TEXT(F8,"0.################"))) &amp; "|" &amp; TEXT(G8,"yyyy-mm-dd") &amp; "|" &amp; IF(K8="", "CALL", UPPER(K8)) &amp; "|" &amp; IF(C8="", "OPEN", UPPER(C8))</f>
        <v/>
      </c>
      <c r="K8" t="inlineStr">
        <is>
          <t>Call</t>
        </is>
      </c>
    </row>
    <row r="9">
      <c r="A9" t="inlineStr">
        <is>
          <t>Travis</t>
        </is>
      </c>
      <c r="B9" s="1" t="n">
        <v>45929.37430555555</v>
      </c>
      <c r="C9" t="inlineStr">
        <is>
          <t>CLOSE</t>
        </is>
      </c>
      <c r="D9" t="inlineStr">
        <is>
          <t>NVDA</t>
        </is>
      </c>
      <c r="E9" t="n">
        <v>1</v>
      </c>
      <c r="F9" t="n">
        <v>177.5</v>
      </c>
      <c r="G9" s="1" t="n">
        <v>45940</v>
      </c>
      <c r="H9" t="n">
        <v>8.029999999999999</v>
      </c>
      <c r="I9" t="n">
        <v>183.06</v>
      </c>
      <c r="J9">
        <f>UPPER(D9) &amp; "|" &amp; IF(F9="","",IF(MOD(F9,1)=0,TEXT(F9,"0"),TEXT(F9,"0.################"))) &amp; "|" &amp; TEXT(G9,"yyyy-mm-dd") &amp; "|" &amp; IF(K9="", "CALL", UPPER(K9)) &amp; "|" &amp; IF(C9="", "OPEN", UPPER(C9))</f>
        <v/>
      </c>
      <c r="K9" t="inlineStr">
        <is>
          <t>Call</t>
        </is>
      </c>
    </row>
    <row r="10">
      <c r="A10" t="inlineStr">
        <is>
          <t>Travis</t>
        </is>
      </c>
      <c r="B10" s="1" t="n">
        <v>45932.40416666667</v>
      </c>
      <c r="C10" t="inlineStr">
        <is>
          <t>OPEN</t>
        </is>
      </c>
      <c r="D10" t="inlineStr">
        <is>
          <t>NVDA</t>
        </is>
      </c>
      <c r="E10" t="n">
        <v>1</v>
      </c>
      <c r="F10" t="n">
        <v>180</v>
      </c>
      <c r="G10" s="1" t="n">
        <v>45940</v>
      </c>
      <c r="H10" t="n">
        <v>11.16</v>
      </c>
      <c r="I10" t="n">
        <v>189.79</v>
      </c>
      <c r="J10">
        <f>UPPER(D10) &amp; "|" &amp; IF(F10="","",IF(MOD(F10,1)=0,TEXT(F10,"0"),TEXT(F10,"0.################"))) &amp; "|" &amp; TEXT(G10,"yyyy-mm-dd") &amp; "|" &amp; IF(K10="", "CALL", UPPER(K10)) &amp; "|" &amp; IF(C10="", "OPEN", UPPER(C10))</f>
        <v/>
      </c>
      <c r="K10" t="inlineStr">
        <is>
          <t>Call</t>
        </is>
      </c>
    </row>
    <row r="11">
      <c r="A11" t="inlineStr">
        <is>
          <t>Travis</t>
        </is>
      </c>
      <c r="B11" s="1" t="n">
        <v>45939.36527777778</v>
      </c>
      <c r="C11" t="inlineStr">
        <is>
          <t>CLOSE</t>
        </is>
      </c>
      <c r="D11" t="inlineStr">
        <is>
          <t>NVDA</t>
        </is>
      </c>
      <c r="E11" t="n">
        <v>1</v>
      </c>
      <c r="F11" t="n">
        <v>180</v>
      </c>
      <c r="G11" s="1" t="n">
        <v>45940</v>
      </c>
      <c r="H11" t="n">
        <v>13</v>
      </c>
      <c r="I11" t="n">
        <v>192.83</v>
      </c>
      <c r="J11">
        <f>UPPER(D11) &amp; "|" &amp; IF(F11="","",IF(MOD(F11,1)=0,TEXT(F11,"0"),TEXT(F11,"0.################"))) &amp; "|" &amp; TEXT(G11,"yyyy-mm-dd") &amp; "|" &amp; IF(K11="", "CALL", UPPER(K11)) &amp; "|" &amp; IF(C11="", "OPEN", UPPER(C11))</f>
        <v/>
      </c>
      <c r="K11" t="inlineStr">
        <is>
          <t>Call</t>
        </is>
      </c>
    </row>
    <row r="12">
      <c r="A12" t="inlineStr">
        <is>
          <t>Travis</t>
        </is>
      </c>
      <c r="B12" s="1" t="n">
        <v>45939.36527777778</v>
      </c>
      <c r="C12" t="inlineStr">
        <is>
          <t>OPEN</t>
        </is>
      </c>
      <c r="D12" t="inlineStr">
        <is>
          <t>NVDA</t>
        </is>
      </c>
      <c r="E12" t="n">
        <v>1</v>
      </c>
      <c r="F12" t="n">
        <v>180</v>
      </c>
      <c r="G12" s="1" t="n">
        <v>45947</v>
      </c>
      <c r="H12" t="n">
        <v>14.02</v>
      </c>
      <c r="I12" t="n">
        <v>192.84</v>
      </c>
      <c r="J12" t="inlineStr">
        <is>
          <t>NVDA|180|2025-10-17|CALL|OPEN</t>
        </is>
      </c>
      <c r="K12" t="inlineStr">
        <is>
          <t>Call</t>
        </is>
      </c>
    </row>
    <row r="13">
      <c r="A13" t="inlineStr">
        <is>
          <t>Travis</t>
        </is>
      </c>
      <c r="B13" s="1" t="n">
        <v>45945.51041666666</v>
      </c>
      <c r="C13" t="inlineStr">
        <is>
          <t>CLOSE</t>
        </is>
      </c>
      <c r="D13" t="inlineStr">
        <is>
          <t>NVDA</t>
        </is>
      </c>
      <c r="E13" t="n">
        <v>1</v>
      </c>
      <c r="F13" t="n">
        <v>180</v>
      </c>
      <c r="G13" s="1" t="n">
        <v>45947</v>
      </c>
      <c r="H13" t="n">
        <v>2.09</v>
      </c>
      <c r="I13" t="n">
        <v>177.5</v>
      </c>
      <c r="J13" t="inlineStr">
        <is>
          <t>NVDA|180|2025-10-17|CALL|CLOSE</t>
        </is>
      </c>
      <c r="K13" t="inlineStr">
        <is>
          <t>Call</t>
        </is>
      </c>
    </row>
    <row r="14">
      <c r="A14" t="inlineStr">
        <is>
          <t>Travis</t>
        </is>
      </c>
      <c r="B14" s="1" t="n">
        <v>45945.51041666666</v>
      </c>
      <c r="C14" t="inlineStr">
        <is>
          <t>OPEN</t>
        </is>
      </c>
      <c r="D14" t="inlineStr">
        <is>
          <t>NVDA</t>
        </is>
      </c>
      <c r="E14" t="n">
        <v>1</v>
      </c>
      <c r="F14" t="n">
        <v>170</v>
      </c>
      <c r="G14" s="1" t="n">
        <v>45947</v>
      </c>
      <c r="H14" t="n">
        <v>8.65</v>
      </c>
      <c r="I14" t="n">
        <v>177.5</v>
      </c>
      <c r="J14" t="inlineStr">
        <is>
          <t>NVDA|170|2025-10-17|CALL|OPEN</t>
        </is>
      </c>
      <c r="K14" t="inlineStr">
        <is>
          <t>Call</t>
        </is>
      </c>
    </row>
    <row r="15">
      <c r="A15" t="inlineStr">
        <is>
          <t>Travis</t>
        </is>
      </c>
      <c r="B15" s="1" t="n">
        <v>45944.39652777778</v>
      </c>
      <c r="C15" t="inlineStr">
        <is>
          <t>OPEN</t>
        </is>
      </c>
      <c r="D15" t="inlineStr">
        <is>
          <t>NVDA</t>
        </is>
      </c>
      <c r="E15" t="n">
        <v>1</v>
      </c>
      <c r="F15" t="n">
        <v>172.5</v>
      </c>
      <c r="G15" s="1" t="n">
        <v>45947</v>
      </c>
      <c r="H15" t="n">
        <v>10.5</v>
      </c>
      <c r="I15" t="n">
        <v>181.95</v>
      </c>
      <c r="J15" t="inlineStr">
        <is>
          <t>NVDA|172.5|2025-10-17|CALL|OPEN</t>
        </is>
      </c>
      <c r="K15" t="inlineStr">
        <is>
          <t>Call</t>
        </is>
      </c>
    </row>
    <row r="16">
      <c r="A16" t="inlineStr">
        <is>
          <t>Travis</t>
        </is>
      </c>
      <c r="B16" s="1" t="n">
        <v>45947.38263888889</v>
      </c>
      <c r="C16" t="inlineStr">
        <is>
          <t>CLOSE</t>
        </is>
      </c>
      <c r="D16" t="inlineStr">
        <is>
          <t>NVDA</t>
        </is>
      </c>
      <c r="E16" t="n">
        <v>1</v>
      </c>
      <c r="F16" t="n">
        <v>170</v>
      </c>
      <c r="G16" s="1" t="n">
        <v>45947</v>
      </c>
      <c r="H16" t="n">
        <v>11.8</v>
      </c>
      <c r="I16" t="n">
        <v>182.22</v>
      </c>
      <c r="J16" t="inlineStr">
        <is>
          <t>NVDA|170|2025-10-17|CALL|CLOSE</t>
        </is>
      </c>
      <c r="K16" t="inlineStr">
        <is>
          <t>Call</t>
        </is>
      </c>
    </row>
    <row r="17">
      <c r="A17" t="inlineStr">
        <is>
          <t>Travis</t>
        </is>
      </c>
      <c r="B17" s="1" t="n">
        <v>45947.38263888889</v>
      </c>
      <c r="C17" t="inlineStr">
        <is>
          <t>CLOSE</t>
        </is>
      </c>
      <c r="D17" t="inlineStr">
        <is>
          <t>NVDA</t>
        </is>
      </c>
      <c r="E17" t="n">
        <v>1</v>
      </c>
      <c r="F17" t="n">
        <v>172.5</v>
      </c>
      <c r="G17" s="1" t="n">
        <v>45947</v>
      </c>
      <c r="H17" t="n">
        <v>9.960000000000001</v>
      </c>
      <c r="I17" t="n">
        <v>182.22</v>
      </c>
      <c r="J17" t="inlineStr">
        <is>
          <t>NVDA|172.5|2025-10-17|CALL|CLOSE</t>
        </is>
      </c>
      <c r="K17" t="inlineStr">
        <is>
          <t>Call</t>
        </is>
      </c>
    </row>
    <row r="18">
      <c r="A18" t="inlineStr">
        <is>
          <t>Travis</t>
        </is>
      </c>
      <c r="B18" s="1" t="n">
        <v>45947.38263888889</v>
      </c>
      <c r="C18" t="inlineStr">
        <is>
          <t>OPEN</t>
        </is>
      </c>
      <c r="D18" t="inlineStr">
        <is>
          <t>NVDA</t>
        </is>
      </c>
      <c r="E18" t="n">
        <v>1</v>
      </c>
      <c r="F18" t="n">
        <v>170</v>
      </c>
      <c r="G18" s="1" t="n">
        <v>45954</v>
      </c>
      <c r="H18" t="n">
        <v>13.15</v>
      </c>
      <c r="I18" t="n">
        <v>182.22</v>
      </c>
      <c r="J18" t="inlineStr">
        <is>
          <t>NVDA|170|2025-10-24|CALL|OPEN</t>
        </is>
      </c>
      <c r="K18" t="inlineStr">
        <is>
          <t>Call</t>
        </is>
      </c>
    </row>
    <row r="19">
      <c r="A19" t="inlineStr">
        <is>
          <t>Travis</t>
        </is>
      </c>
      <c r="B19" s="1" t="n">
        <v>45947.38263888889</v>
      </c>
      <c r="C19" t="inlineStr">
        <is>
          <t>OPEN</t>
        </is>
      </c>
      <c r="D19" t="inlineStr">
        <is>
          <t>NVDA</t>
        </is>
      </c>
      <c r="E19" t="n">
        <v>1</v>
      </c>
      <c r="F19" t="n">
        <v>170</v>
      </c>
      <c r="G19" s="1" t="n">
        <v>45954</v>
      </c>
      <c r="H19" t="n">
        <v>13.68</v>
      </c>
      <c r="I19" t="n">
        <v>182.22</v>
      </c>
      <c r="J19" t="inlineStr">
        <is>
          <t>NVDA|170|2025-10-24|CALL|OPEN</t>
        </is>
      </c>
      <c r="K19" t="inlineStr">
        <is>
          <t>Call</t>
        </is>
      </c>
    </row>
    <row r="20">
      <c r="A20" t="inlineStr">
        <is>
          <t>Travis</t>
        </is>
      </c>
      <c r="B20" s="1" t="n">
        <v>45953.41666666666</v>
      </c>
      <c r="C20" t="inlineStr">
        <is>
          <t>CLOSE</t>
        </is>
      </c>
      <c r="D20" t="inlineStr">
        <is>
          <t>NVDA</t>
        </is>
      </c>
      <c r="E20" t="n">
        <v>2</v>
      </c>
      <c r="F20" t="n">
        <v>170</v>
      </c>
      <c r="G20" s="1" t="n">
        <v>45954</v>
      </c>
      <c r="H20" t="n">
        <v>12.42</v>
      </c>
      <c r="I20" t="n">
        <v>182.26</v>
      </c>
      <c r="J20" t="inlineStr">
        <is>
          <t>NVDA|170|2025-10-24|CALL|CLOSE</t>
        </is>
      </c>
      <c r="K20" t="inlineStr">
        <is>
          <t>Call</t>
        </is>
      </c>
    </row>
    <row r="21">
      <c r="A21" t="inlineStr">
        <is>
          <t>Travis</t>
        </is>
      </c>
      <c r="B21" s="1" t="n">
        <v>45953.41666666666</v>
      </c>
      <c r="C21" t="inlineStr">
        <is>
          <t>OPEN</t>
        </is>
      </c>
      <c r="D21" t="inlineStr">
        <is>
          <t>NVDA</t>
        </is>
      </c>
      <c r="E21" t="n">
        <v>2</v>
      </c>
      <c r="F21" t="n">
        <v>167.5</v>
      </c>
      <c r="G21" s="1" t="n">
        <v>45961</v>
      </c>
      <c r="H21" t="n">
        <v>15.79</v>
      </c>
      <c r="I21" t="n">
        <v>182.26</v>
      </c>
      <c r="J21" t="inlineStr">
        <is>
          <t>NVDA|167.5|2025-10-31|CALL|OPEN</t>
        </is>
      </c>
      <c r="K21" t="inlineStr">
        <is>
          <t>Call</t>
        </is>
      </c>
    </row>
    <row r="22">
      <c r="A22" t="inlineStr">
        <is>
          <t>Travis</t>
        </is>
      </c>
      <c r="B22" s="1" t="n">
        <v>45958.55694444444</v>
      </c>
      <c r="C22" t="inlineStr">
        <is>
          <t>CLOSE</t>
        </is>
      </c>
      <c r="D22" t="inlineStr">
        <is>
          <t>NVDA</t>
        </is>
      </c>
      <c r="E22" t="n">
        <v>2</v>
      </c>
      <c r="F22" t="n">
        <v>167.5</v>
      </c>
      <c r="G22" s="1" t="n">
        <v>45961</v>
      </c>
      <c r="H22" t="n">
        <v>31.9</v>
      </c>
      <c r="I22" t="n">
        <v>199.19</v>
      </c>
      <c r="J22" t="inlineStr">
        <is>
          <t>NVDA|167.5|2025-10-31|CALL|CLOSE</t>
        </is>
      </c>
      <c r="K22" t="inlineStr">
        <is>
          <t>Call</t>
        </is>
      </c>
    </row>
    <row r="23">
      <c r="A23" t="inlineStr">
        <is>
          <t>Travis</t>
        </is>
      </c>
      <c r="B23" s="1" t="n">
        <v>45958.55694444444</v>
      </c>
      <c r="C23" t="inlineStr">
        <is>
          <t>OPEN</t>
        </is>
      </c>
      <c r="D23" t="inlineStr">
        <is>
          <t>NVDA</t>
        </is>
      </c>
      <c r="E23" t="n">
        <v>2</v>
      </c>
      <c r="F23" t="n">
        <v>180</v>
      </c>
      <c r="G23" s="1" t="n">
        <v>45968</v>
      </c>
      <c r="H23" t="n">
        <v>20.49</v>
      </c>
      <c r="I23" t="n">
        <v>199.19</v>
      </c>
      <c r="J23" t="inlineStr">
        <is>
          <t>NVDA|180|2025-11-07|CALL|OPEN</t>
        </is>
      </c>
      <c r="K23" t="inlineStr">
        <is>
          <t>Call</t>
        </is>
      </c>
    </row>
    <row r="24">
      <c r="A24" t="inlineStr">
        <is>
          <t>Travis</t>
        </is>
      </c>
      <c r="B24" s="1" t="n">
        <v>45967.35625</v>
      </c>
      <c r="C24" t="inlineStr">
        <is>
          <t>CLOSE</t>
        </is>
      </c>
      <c r="D24" t="inlineStr">
        <is>
          <t>NVDA</t>
        </is>
      </c>
      <c r="E24" t="n">
        <v>2</v>
      </c>
      <c r="F24" t="n">
        <v>180</v>
      </c>
      <c r="G24" s="1" t="n">
        <v>45968</v>
      </c>
      <c r="H24" t="n">
        <v>17.6</v>
      </c>
      <c r="I24" t="n">
        <v>197.25</v>
      </c>
      <c r="J24" t="inlineStr">
        <is>
          <t>NVDA|180|2025-11-07|CALL|CLOSE</t>
        </is>
      </c>
      <c r="K24" t="inlineStr">
        <is>
          <t>Call</t>
        </is>
      </c>
    </row>
    <row r="25">
      <c r="A25" t="inlineStr">
        <is>
          <t>Travis</t>
        </is>
      </c>
      <c r="B25" s="1" t="n">
        <v>45967.35625</v>
      </c>
      <c r="C25" t="inlineStr">
        <is>
          <t>OPEN</t>
        </is>
      </c>
      <c r="D25" t="inlineStr">
        <is>
          <t>NVDA</t>
        </is>
      </c>
      <c r="E25" t="n">
        <v>2</v>
      </c>
      <c r="F25" t="n">
        <v>182.5</v>
      </c>
      <c r="G25" s="1" t="n">
        <v>45975</v>
      </c>
      <c r="H25" t="n">
        <v>16.12</v>
      </c>
      <c r="I25" t="n">
        <v>197.25</v>
      </c>
      <c r="J25" t="inlineStr">
        <is>
          <t>NVDA|182.5|2025-11-14|CALL|OPEN</t>
        </is>
      </c>
      <c r="K25" t="inlineStr">
        <is>
          <t>Call</t>
        </is>
      </c>
    </row>
    <row r="26">
      <c r="A26" t="inlineStr">
        <is>
          <t>Travis</t>
        </is>
      </c>
      <c r="B26" s="1" t="n">
        <v>45968.35833333333</v>
      </c>
      <c r="C26" t="inlineStr">
        <is>
          <t>CLOSE</t>
        </is>
      </c>
      <c r="D26" t="inlineStr">
        <is>
          <t>NVDA</t>
        </is>
      </c>
      <c r="E26" t="n">
        <v>2</v>
      </c>
      <c r="F26" t="n">
        <v>182.5</v>
      </c>
      <c r="G26" s="1" t="n">
        <v>45975</v>
      </c>
      <c r="H26" t="n">
        <v>6.06</v>
      </c>
      <c r="I26" t="n">
        <v>183.65</v>
      </c>
      <c r="J26" t="inlineStr">
        <is>
          <t>NVDA|182.5|2025-11-14|CALL|CLOSE</t>
        </is>
      </c>
      <c r="K26" t="inlineStr">
        <is>
          <t>Call</t>
        </is>
      </c>
    </row>
    <row r="27">
      <c r="A27" t="inlineStr">
        <is>
          <t>Travis</t>
        </is>
      </c>
      <c r="B27" s="1" t="n">
        <v>45968.35833333333</v>
      </c>
      <c r="C27" t="inlineStr">
        <is>
          <t>OPEN</t>
        </is>
      </c>
      <c r="D27" t="inlineStr">
        <is>
          <t>NVDA</t>
        </is>
      </c>
      <c r="E27" t="n">
        <v>2</v>
      </c>
      <c r="F27" t="n">
        <v>170</v>
      </c>
      <c r="G27" s="1" t="n">
        <v>45975</v>
      </c>
      <c r="H27" t="n">
        <v>15.16</v>
      </c>
      <c r="I27" t="n">
        <v>183.65</v>
      </c>
      <c r="J27" t="inlineStr">
        <is>
          <t>NVDA|170|2025-11-14|CALL|OPEN</t>
        </is>
      </c>
      <c r="K27" t="inlineStr">
        <is>
          <t>Call</t>
        </is>
      </c>
    </row>
    <row r="28">
      <c r="A28" t="inlineStr">
        <is>
          <t>Travis</t>
        </is>
      </c>
      <c r="B28" s="1" t="n">
        <v>45971.40625</v>
      </c>
      <c r="C28" t="inlineStr">
        <is>
          <t>CLOSE</t>
        </is>
      </c>
      <c r="D28" t="inlineStr">
        <is>
          <t>NVDA</t>
        </is>
      </c>
      <c r="E28" t="n">
        <v>2</v>
      </c>
      <c r="F28" t="n">
        <v>170</v>
      </c>
      <c r="G28" s="1" t="n">
        <v>45975</v>
      </c>
      <c r="H28" t="n">
        <v>26.45</v>
      </c>
      <c r="I28" t="n">
        <v>196.26</v>
      </c>
      <c r="J28" t="inlineStr">
        <is>
          <t>NVDA|170|2025-11-14|CALL|CLOSE</t>
        </is>
      </c>
      <c r="K28" t="inlineStr">
        <is>
          <t>Call</t>
        </is>
      </c>
    </row>
    <row r="29">
      <c r="A29" t="inlineStr">
        <is>
          <t>Travis</t>
        </is>
      </c>
      <c r="B29" s="1" t="n">
        <v>45971.40625</v>
      </c>
      <c r="C29" t="inlineStr">
        <is>
          <t>OPEN</t>
        </is>
      </c>
      <c r="D29" t="inlineStr">
        <is>
          <t>NVDA</t>
        </is>
      </c>
      <c r="E29" t="n">
        <v>2</v>
      </c>
      <c r="F29" t="n">
        <v>170</v>
      </c>
      <c r="G29" s="1" t="n">
        <v>45982</v>
      </c>
      <c r="H29" t="n">
        <v>27.5</v>
      </c>
      <c r="I29" t="n">
        <v>196.26</v>
      </c>
      <c r="J29" t="inlineStr">
        <is>
          <t>NVDA|170|2025-11-21|CALL|OPEN</t>
        </is>
      </c>
      <c r="K29" t="inlineStr">
        <is>
          <t>Call</t>
        </is>
      </c>
    </row>
    <row r="30">
      <c r="A30" t="inlineStr">
        <is>
          <t>Travis</t>
        </is>
      </c>
      <c r="B30" s="1" t="n">
        <v>45979.36805555555</v>
      </c>
      <c r="C30" t="inlineStr">
        <is>
          <t>CLOSE</t>
        </is>
      </c>
      <c r="D30" t="inlineStr">
        <is>
          <t>NVDA</t>
        </is>
      </c>
      <c r="E30" t="n">
        <v>2</v>
      </c>
      <c r="F30" t="n">
        <v>170</v>
      </c>
      <c r="G30" s="1" t="n">
        <v>45982</v>
      </c>
      <c r="H30" t="n">
        <v>14.21</v>
      </c>
      <c r="I30" t="n">
        <v>181.72</v>
      </c>
      <c r="J30" t="inlineStr">
        <is>
          <t>NVDA|170|2025-11-21|CALL|CLOSE</t>
        </is>
      </c>
      <c r="K30" t="inlineStr">
        <is>
          <t>Call</t>
        </is>
      </c>
    </row>
    <row r="31">
      <c r="A31" t="inlineStr">
        <is>
          <t>Travis</t>
        </is>
      </c>
      <c r="B31" s="1" t="n">
        <v>45979.36805555555</v>
      </c>
      <c r="C31" t="inlineStr">
        <is>
          <t>OPEN</t>
        </is>
      </c>
      <c r="D31" t="inlineStr">
        <is>
          <t>NVDA</t>
        </is>
      </c>
      <c r="E31" t="n">
        <v>2</v>
      </c>
      <c r="F31" t="n">
        <v>165</v>
      </c>
      <c r="G31" s="1" t="n">
        <v>45989</v>
      </c>
      <c r="H31" t="n">
        <v>19.19</v>
      </c>
      <c r="I31" t="n">
        <v>181.72</v>
      </c>
      <c r="J31">
        <f>UPPER(D31) &amp; "|" &amp; IF(F31="","",IF(MOD(F31,1)=0,TEXT(F31,"0"),TEXT(F31,"0.################"))) &amp; "|" &amp; TEXT(G31,"yyyy-mm-dd") &amp; "|" &amp; IF(K31="", "CALL", UPPER(K31)) &amp; "|" &amp; IF(C31="", "OPEN", UPPER(C31))</f>
        <v/>
      </c>
      <c r="K31" t="inlineStr">
        <is>
          <t>Call</t>
        </is>
      </c>
    </row>
    <row r="32">
      <c r="A32" t="inlineStr">
        <is>
          <t>Travis</t>
        </is>
      </c>
      <c r="B32" s="1" t="n">
        <v>45987.36180555556</v>
      </c>
      <c r="C32" t="inlineStr">
        <is>
          <t>CLOSE</t>
        </is>
      </c>
      <c r="D32" t="inlineStr">
        <is>
          <t>NVDA</t>
        </is>
      </c>
      <c r="E32" t="n">
        <v>2</v>
      </c>
      <c r="F32" t="n">
        <v>165</v>
      </c>
      <c r="G32" s="1" t="n">
        <v>45989</v>
      </c>
      <c r="H32" t="n">
        <v>16.16</v>
      </c>
      <c r="I32" t="n">
        <v>180.96</v>
      </c>
      <c r="J32">
        <f>UPPER(D32) &amp; "|" &amp; IF(F32="","",IF(MOD(F32,1)=0,TEXT(F32,"0"),TEXT(F32,"0.################"))) &amp; "|" &amp; TEXT(G32,"yyyy-mm-dd") &amp; "|" &amp; IF(K32="", "CALL", UPPER(K32)) &amp; "|" &amp; IF(C32="", "OPEN", UPPER(C32))</f>
        <v/>
      </c>
      <c r="K32" t="inlineStr">
        <is>
          <t>Call</t>
        </is>
      </c>
    </row>
    <row r="33">
      <c r="A33" t="inlineStr">
        <is>
          <t>Travis</t>
        </is>
      </c>
      <c r="B33" s="1" t="n">
        <v>45987.36180555556</v>
      </c>
      <c r="C33" t="inlineStr">
        <is>
          <t>OPEN</t>
        </is>
      </c>
      <c r="D33" t="inlineStr">
        <is>
          <t>NVDA</t>
        </is>
      </c>
      <c r="E33" t="n">
        <v>2</v>
      </c>
      <c r="F33" t="n">
        <v>167.5</v>
      </c>
      <c r="G33" s="1" t="n">
        <v>45996</v>
      </c>
      <c r="H33" t="n">
        <v>14.86</v>
      </c>
      <c r="I33" t="n">
        <v>180.96</v>
      </c>
      <c r="J33">
        <f>UPPER(D33) &amp; "|" &amp; IF(F33="","",IF(MOD(F33,1)=0,TEXT(F33,"0"),TEXT(F33,"0.################"))) &amp; "|" &amp; TEXT(G33,"yyyy-mm-dd") &amp; "|" &amp; IF(K33="", "CALL", UPPER(K33)) &amp; "|" &amp; IF(C33="", "OPEN", UPPER(C33))</f>
        <v/>
      </c>
      <c r="K33" t="inlineStr">
        <is>
          <t>Call</t>
        </is>
      </c>
    </row>
    <row r="34">
      <c r="A34" t="inlineStr">
        <is>
          <t>Travis</t>
        </is>
      </c>
      <c r="B34" s="1" t="n">
        <v>45995.52152777778</v>
      </c>
      <c r="C34" t="inlineStr">
        <is>
          <t>CLOSE</t>
        </is>
      </c>
      <c r="D34" t="inlineStr">
        <is>
          <t>NVDA</t>
        </is>
      </c>
      <c r="E34" t="n">
        <v>1</v>
      </c>
      <c r="F34" t="n">
        <v>167.5</v>
      </c>
      <c r="G34" s="1" t="n">
        <v>45996</v>
      </c>
      <c r="H34" t="n">
        <v>16.29</v>
      </c>
      <c r="I34" t="n">
        <v>183.73</v>
      </c>
      <c r="J34">
        <f>UPPER(D34) &amp; "|" &amp; IF(F34="","",IF(MOD(F34,1)=0,TEXT(F34,"0"),TEXT(F34,"0.################"))) &amp; "|" &amp; TEXT(G34,"yyyy-mm-dd") &amp; "|" &amp; IF(K34="", "CALL", UPPER(K34)) &amp; "|" &amp; IF(C34="", "OPEN", UPPER(C34))</f>
        <v/>
      </c>
      <c r="K34" t="inlineStr">
        <is>
          <t>Call</t>
        </is>
      </c>
    </row>
    <row r="35">
      <c r="A35" t="inlineStr">
        <is>
          <t>Travis</t>
        </is>
      </c>
      <c r="B35" s="1" t="n">
        <v>45995.52569444444</v>
      </c>
      <c r="C35" t="inlineStr">
        <is>
          <t>CLOSE</t>
        </is>
      </c>
      <c r="D35" t="inlineStr">
        <is>
          <t>NVDA</t>
        </is>
      </c>
      <c r="E35" t="n">
        <v>1</v>
      </c>
      <c r="F35" t="n">
        <v>167.5</v>
      </c>
      <c r="G35" s="1" t="n">
        <v>45996</v>
      </c>
      <c r="H35" t="n">
        <v>16.15</v>
      </c>
      <c r="I35" t="n">
        <v>183.42</v>
      </c>
      <c r="J35">
        <f>UPPER(D35) &amp; "|" &amp; IF(F35="","",IF(MOD(F35,1)=0,TEXT(F35,"0"),TEXT(F35,"0.################"))) &amp; "|" &amp; TEXT(G35,"yyyy-mm-dd") &amp; "|" &amp; IF(K35="", "CALL", UPPER(K35)) &amp; "|" &amp; IF(C35="", "OPEN", UPPER(C35))</f>
        <v/>
      </c>
      <c r="K35" t="inlineStr">
        <is>
          <t>Call</t>
        </is>
      </c>
    </row>
    <row r="36">
      <c r="A36" t="inlineStr">
        <is>
          <t>Travis</t>
        </is>
      </c>
      <c r="B36" s="1" t="n">
        <v>45995.525</v>
      </c>
      <c r="C36" t="inlineStr">
        <is>
          <t>OPEN</t>
        </is>
      </c>
      <c r="D36" t="inlineStr">
        <is>
          <t>NVDA</t>
        </is>
      </c>
      <c r="E36" t="n">
        <v>1</v>
      </c>
      <c r="F36" t="n">
        <v>190</v>
      </c>
      <c r="G36" s="1" t="n">
        <v>46003</v>
      </c>
      <c r="H36" t="n">
        <v>8.02</v>
      </c>
      <c r="I36" t="n">
        <v>183.59</v>
      </c>
      <c r="J36">
        <f>UPPER(D36) &amp; "|" &amp; IF(F36="","",IF(MOD(F36,1)=0,TEXT(F36,"0"),TEXT(F36,"0.################"))) &amp; "|" &amp; TEXT(G36,"yyyy-mm-dd") &amp; "|" &amp; IF(K36="", "CALL", UPPER(K36)) &amp; "|" &amp; IF(C36="", "OPEN", UPPER(C36))</f>
        <v/>
      </c>
      <c r="K36" t="inlineStr">
        <is>
          <t>Put</t>
        </is>
      </c>
    </row>
    <row r="37">
      <c r="A37" t="inlineStr">
        <is>
          <t>Travis</t>
        </is>
      </c>
      <c r="B37" s="1" t="n">
        <v>45995.52569444444</v>
      </c>
      <c r="C37" t="inlineStr">
        <is>
          <t>OPEN</t>
        </is>
      </c>
      <c r="D37" t="inlineStr">
        <is>
          <t>NVDA</t>
        </is>
      </c>
      <c r="E37" t="n">
        <v>1</v>
      </c>
      <c r="F37" t="n">
        <v>177.5</v>
      </c>
      <c r="G37" s="1" t="n">
        <v>46003</v>
      </c>
      <c r="H37" t="n">
        <v>8.279999999999999</v>
      </c>
      <c r="I37" t="n">
        <v>183.42</v>
      </c>
      <c r="J37">
        <f>UPPER(D37) &amp; "|" &amp; IF(F37="","",IF(MOD(F37,1)=0,TEXT(F37,"0"),TEXT(F37,"0.################"))) &amp; "|" &amp; TEXT(G37,"yyyy-mm-dd") &amp; "|" &amp; IF(K37="", "CALL", UPPER(K37)) &amp; "|" &amp; IF(C37="", "OPEN", UPPER(C37))</f>
        <v/>
      </c>
      <c r="K37" t="inlineStr">
        <is>
          <t>Call</t>
        </is>
      </c>
    </row>
    <row r="38">
      <c r="A38" t="inlineStr">
        <is>
          <t>Travis</t>
        </is>
      </c>
      <c r="B38" s="1" t="n">
        <v>45996.45277777778</v>
      </c>
      <c r="C38" t="inlineStr">
        <is>
          <t>OPEN</t>
        </is>
      </c>
      <c r="D38" t="inlineStr">
        <is>
          <t>NVDA</t>
        </is>
      </c>
      <c r="E38" t="n">
        <v>1</v>
      </c>
      <c r="F38" t="n">
        <v>180</v>
      </c>
      <c r="G38" s="1" t="n">
        <v>46003</v>
      </c>
      <c r="H38" t="n">
        <v>2.89</v>
      </c>
      <c r="I38" t="n">
        <v>182.19</v>
      </c>
      <c r="J38">
        <f>UPPER(D38) &amp; "|" &amp; IF(F38="","",IF(MOD(F38,1)=0,TEXT(F38,"0"),TEXT(F38,"0.################"))) &amp; "|" &amp; TEXT(G38,"yyyy-mm-dd") &amp; "|" &amp; IF(K38="", "CALL", UPPER(K38)) &amp; "|" &amp; IF(C38="", "OPEN", UPPER(C38))</f>
        <v/>
      </c>
      <c r="K38" t="inlineStr">
        <is>
          <t>Put</t>
        </is>
      </c>
    </row>
    <row r="39">
      <c r="A39" t="inlineStr">
        <is>
          <t>Travis</t>
        </is>
      </c>
      <c r="B39" s="1" t="n">
        <v>45996.45277777778</v>
      </c>
      <c r="C39" t="inlineStr">
        <is>
          <t>CLOSE</t>
        </is>
      </c>
      <c r="D39" t="inlineStr">
        <is>
          <t>NVDA</t>
        </is>
      </c>
      <c r="E39" t="n">
        <v>1</v>
      </c>
      <c r="F39" t="n">
        <v>190</v>
      </c>
      <c r="G39" s="1" t="n">
        <v>46003</v>
      </c>
      <c r="H39" t="n">
        <v>8.800000000000001</v>
      </c>
      <c r="I39" t="n">
        <v>182.19</v>
      </c>
      <c r="J39">
        <f>UPPER(D39) &amp; "|" &amp; IF(F39="","",IF(MOD(F39,1)=0,TEXT(F39,"0"),TEXT(F39,"0.################"))) &amp; "|" &amp; TEXT(G39,"yyyy-mm-dd") &amp; "|" &amp; IF(K39="", "CALL", UPPER(K39)) &amp; "|" &amp; IF(C39="", "OPEN", UPPER(C39))</f>
        <v/>
      </c>
      <c r="K39" t="inlineStr">
        <is>
          <t>Put</t>
        </is>
      </c>
    </row>
    <row r="40">
      <c r="A40" t="inlineStr">
        <is>
          <t>Travis</t>
        </is>
      </c>
      <c r="B40" s="1" t="n">
        <v>45996.45486111111</v>
      </c>
      <c r="C40" t="inlineStr">
        <is>
          <t>OPEN</t>
        </is>
      </c>
      <c r="D40" t="inlineStr">
        <is>
          <t>NVDA</t>
        </is>
      </c>
      <c r="E40" t="n">
        <v>1</v>
      </c>
      <c r="F40" t="n">
        <v>185</v>
      </c>
      <c r="G40" s="1" t="n">
        <v>46003</v>
      </c>
      <c r="H40" t="n">
        <v>2.69</v>
      </c>
      <c r="I40" t="n">
        <v>182.3</v>
      </c>
      <c r="J40">
        <f>UPPER(D40) &amp; "|" &amp; IF(F40="","",IF(MOD(F40,1)=0,TEXT(F40,"0"),TEXT(F40,"0.################"))) &amp; "|" &amp; TEXT(G40,"yyyy-mm-dd") &amp; "|" &amp; IF(K40="", "CALL", UPPER(K40)) &amp; "|" &amp; IF(C40="", "OPEN", UPPER(C40))</f>
        <v/>
      </c>
      <c r="K40" t="inlineStr">
        <is>
          <t>Call</t>
        </is>
      </c>
    </row>
    <row r="41">
      <c r="A41" t="inlineStr">
        <is>
          <t>Travis</t>
        </is>
      </c>
      <c r="B41" s="1" t="n">
        <v>45996.45486111111</v>
      </c>
      <c r="C41" t="inlineStr">
        <is>
          <t>CLOSE</t>
        </is>
      </c>
      <c r="D41" t="inlineStr">
        <is>
          <t>NVDA</t>
        </is>
      </c>
      <c r="E41" t="n">
        <v>1</v>
      </c>
      <c r="F41" t="n">
        <v>177.5</v>
      </c>
      <c r="G41" s="1" t="n">
        <v>46003</v>
      </c>
      <c r="H41" t="n">
        <v>7.03</v>
      </c>
      <c r="I41" t="n">
        <v>182.3</v>
      </c>
      <c r="J41">
        <f>UPPER(D41) &amp; "|" &amp; IF(F41="","",IF(MOD(F41,1)=0,TEXT(F41,"0"),TEXT(F41,"0.################"))) &amp; "|" &amp; TEXT(G41,"yyyy-mm-dd") &amp; "|" &amp; IF(K41="", "CALL", UPPER(K41)) &amp; "|" &amp; IF(C41="", "OPEN", UPPER(C41))</f>
        <v/>
      </c>
      <c r="K41" t="inlineStr">
        <is>
          <t>Call</t>
        </is>
      </c>
    </row>
    <row r="42">
      <c r="A42" t="inlineStr">
        <is>
          <t>Travis</t>
        </is>
      </c>
      <c r="B42" s="1" t="n">
        <v>46000.41805555556</v>
      </c>
      <c r="C42" t="inlineStr">
        <is>
          <t>OPEN</t>
        </is>
      </c>
      <c r="D42" t="inlineStr">
        <is>
          <t>NVDA</t>
        </is>
      </c>
      <c r="E42" t="n">
        <v>1</v>
      </c>
      <c r="F42" t="n">
        <v>187.5</v>
      </c>
      <c r="G42" s="1" t="n">
        <v>46003</v>
      </c>
      <c r="H42" t="n">
        <v>2.27</v>
      </c>
      <c r="I42" t="n">
        <v>185.55</v>
      </c>
      <c r="J42">
        <f>UPPER(D42) &amp; "|" &amp; IF(F42="","",IF(MOD(F42,1)=0,TEXT(F42,"0"),TEXT(F42,"0.################"))) &amp; "|" &amp; TEXT(G42,"yyyy-mm-dd") &amp; "|" &amp; IF(K42="", "CALL", UPPER(K42)) &amp; "|" &amp; IF(C42="", "OPEN", UPPER(C42))</f>
        <v/>
      </c>
      <c r="K42" t="inlineStr">
        <is>
          <t>Call</t>
        </is>
      </c>
    </row>
    <row r="43">
      <c r="A43" t="inlineStr">
        <is>
          <t>Travis</t>
        </is>
      </c>
      <c r="B43" s="1" t="n">
        <v>46000.41805555556</v>
      </c>
      <c r="C43" t="inlineStr">
        <is>
          <t>OPEN</t>
        </is>
      </c>
      <c r="D43" t="inlineStr">
        <is>
          <t>NVDA</t>
        </is>
      </c>
      <c r="E43" t="n">
        <v>1</v>
      </c>
      <c r="F43" t="n">
        <v>185</v>
      </c>
      <c r="G43" s="1" t="n">
        <v>46003</v>
      </c>
      <c r="H43" t="n">
        <v>2.86</v>
      </c>
      <c r="I43" t="n">
        <v>185.55</v>
      </c>
      <c r="J43">
        <f>UPPER(D43) &amp; "|" &amp; IF(F43="","",IF(MOD(F43,1)=0,TEXT(F43,"0"),TEXT(F43,"0.################"))) &amp; "|" &amp; TEXT(G43,"yyyy-mm-dd") &amp; "|" &amp; IF(K43="", "CALL", UPPER(K43)) &amp; "|" &amp; IF(C43="", "OPEN", UPPER(C43))</f>
        <v/>
      </c>
      <c r="K43" t="inlineStr">
        <is>
          <t>Put</t>
        </is>
      </c>
    </row>
    <row r="44">
      <c r="A44" t="inlineStr">
        <is>
          <t>Travis</t>
        </is>
      </c>
      <c r="B44" s="1" t="n">
        <v>46000.41805555556</v>
      </c>
      <c r="C44" t="inlineStr">
        <is>
          <t>CLOSE</t>
        </is>
      </c>
      <c r="D44" t="inlineStr">
        <is>
          <t>NVDA</t>
        </is>
      </c>
      <c r="E44" t="n">
        <v>1</v>
      </c>
      <c r="F44" t="n">
        <v>185</v>
      </c>
      <c r="G44" s="1" t="n">
        <v>46003</v>
      </c>
      <c r="H44" t="n">
        <v>3.5</v>
      </c>
      <c r="I44" t="n">
        <v>185.55</v>
      </c>
      <c r="J44">
        <f>UPPER(D44) &amp; "|" &amp; IF(F44="","",IF(MOD(F44,1)=0,TEXT(F44,"0"),TEXT(F44,"0.################"))) &amp; "|" &amp; TEXT(G44,"yyyy-mm-dd") &amp; "|" &amp; IF(K44="", "CALL", UPPER(K44)) &amp; "|" &amp; IF(C44="", "OPEN", UPPER(C44))</f>
        <v/>
      </c>
      <c r="K44" t="inlineStr">
        <is>
          <t>Put</t>
        </is>
      </c>
    </row>
    <row r="45">
      <c r="A45" t="inlineStr">
        <is>
          <t>Travis</t>
        </is>
      </c>
      <c r="B45" s="1" t="n">
        <v>46000.41805555556</v>
      </c>
      <c r="C45" t="inlineStr">
        <is>
          <t>CLOSE</t>
        </is>
      </c>
      <c r="D45" t="inlineStr">
        <is>
          <t>NVDA</t>
        </is>
      </c>
      <c r="E45" t="n">
        <v>1</v>
      </c>
      <c r="F45" t="n">
        <v>180</v>
      </c>
      <c r="G45" s="1" t="n">
        <v>46003</v>
      </c>
      <c r="H45" t="n">
        <v>1.2</v>
      </c>
      <c r="I45" t="n">
        <v>185.55</v>
      </c>
      <c r="J45">
        <f>UPPER(D45) &amp; "|" &amp; IF(F45="","",IF(MOD(F45,1)=0,TEXT(F45,"0"),TEXT(F45,"0.################"))) &amp; "|" &amp; TEXT(G45,"yyyy-mm-dd") &amp; "|" &amp; IF(K45="", "CALL", UPPER(K45)) &amp; "|" &amp; IF(C45="", "OPEN", UPPER(C45))</f>
        <v/>
      </c>
      <c r="K45" t="inlineStr">
        <is>
          <t>Put</t>
        </is>
      </c>
    </row>
    <row r="46">
      <c r="A46" t="inlineStr">
        <is>
          <t>Travis</t>
        </is>
      </c>
      <c r="B46" s="1" t="n">
        <v>46001.37361111111</v>
      </c>
      <c r="C46" t="inlineStr">
        <is>
          <t>OPEN</t>
        </is>
      </c>
      <c r="D46" t="inlineStr">
        <is>
          <t>NVDA</t>
        </is>
      </c>
      <c r="E46" t="n">
        <v>1</v>
      </c>
      <c r="F46" t="n">
        <v>185</v>
      </c>
      <c r="G46" s="1" t="n">
        <v>46003</v>
      </c>
      <c r="H46" t="n">
        <v>2.29</v>
      </c>
      <c r="I46" t="n">
        <v>184.08</v>
      </c>
      <c r="J46">
        <f>UPPER(D46) &amp; "|" &amp; IF(F46="","",IF(MOD(F46,1)=0,TEXT(F46,"0"),TEXT(F46,"0.################"))) &amp; "|" &amp; TEXT(G46,"yyyy-mm-dd") &amp; "|" &amp; IF(K46="", "CALL", UPPER(K46)) &amp; "|" &amp; IF(C46="", "OPEN", UPPER(C46))</f>
        <v/>
      </c>
      <c r="K46" t="inlineStr">
        <is>
          <t>Put</t>
        </is>
      </c>
    </row>
    <row r="47">
      <c r="A47" t="inlineStr">
        <is>
          <t>Travis</t>
        </is>
      </c>
      <c r="B47" s="1" t="n">
        <v>46001.37361111111</v>
      </c>
      <c r="C47" t="inlineStr">
        <is>
          <t>CLOSE</t>
        </is>
      </c>
      <c r="D47" t="inlineStr">
        <is>
          <t>NVDA</t>
        </is>
      </c>
      <c r="E47" t="n">
        <v>1</v>
      </c>
      <c r="F47" t="n">
        <v>187.5</v>
      </c>
      <c r="G47" s="1" t="n">
        <v>46003</v>
      </c>
      <c r="H47" t="n">
        <v>1.32</v>
      </c>
      <c r="I47" t="n">
        <v>184.08</v>
      </c>
      <c r="J47">
        <f>UPPER(D47) &amp; "|" &amp; IF(F47="","",IF(MOD(F47,1)=0,TEXT(F47,"0"),TEXT(F47,"0.################"))) &amp; "|" &amp; TEXT(G47,"yyyy-mm-dd") &amp; "|" &amp; IF(K47="", "CALL", UPPER(K47)) &amp; "|" &amp; IF(C47="", "OPEN", UPPER(C47))</f>
        <v/>
      </c>
      <c r="K47" t="inlineStr">
        <is>
          <t>Call</t>
        </is>
      </c>
    </row>
    <row r="48">
      <c r="A48" t="inlineStr">
        <is>
          <t>Travis</t>
        </is>
      </c>
      <c r="B48" s="1" t="n">
        <v>46001.40763888889</v>
      </c>
      <c r="C48" t="inlineStr">
        <is>
          <t>CLOSE</t>
        </is>
      </c>
      <c r="D48" t="inlineStr">
        <is>
          <t>NVDA</t>
        </is>
      </c>
      <c r="E48" t="n">
        <v>1</v>
      </c>
      <c r="F48" t="n">
        <v>185</v>
      </c>
      <c r="G48" s="1" t="n">
        <v>46003</v>
      </c>
      <c r="H48" t="n">
        <v>3.83</v>
      </c>
      <c r="I48" t="n">
        <v>183.04</v>
      </c>
      <c r="J48">
        <f>UPPER(D48) &amp; "|" &amp; IF(F48="","",IF(MOD(F48,1)=0,TEXT(F48,"0"),TEXT(F48,"0.################"))) &amp; "|" &amp; TEXT(G48,"yyyy-mm-dd") &amp; "|" &amp; IF(K48="", "CALL", UPPER(K48)) &amp; "|" &amp; IF(C48="", "OPEN", UPPER(C48))</f>
        <v/>
      </c>
      <c r="K48" t="inlineStr">
        <is>
          <t>Put</t>
        </is>
      </c>
    </row>
    <row r="49">
      <c r="A49" t="inlineStr">
        <is>
          <t>Travis</t>
        </is>
      </c>
      <c r="B49" s="1" t="n">
        <v>46001.40972222222</v>
      </c>
      <c r="C49" t="inlineStr">
        <is>
          <t>CLOSE</t>
        </is>
      </c>
      <c r="D49" t="inlineStr">
        <is>
          <t>NVDA</t>
        </is>
      </c>
      <c r="E49" t="n">
        <v>1</v>
      </c>
      <c r="F49" t="n">
        <v>190</v>
      </c>
      <c r="G49" s="1" t="n">
        <v>46003</v>
      </c>
      <c r="H49" t="n">
        <v>7.25</v>
      </c>
      <c r="I49" t="n">
        <v>183.31</v>
      </c>
      <c r="J49">
        <f>UPPER(D49) &amp; "|" &amp; IF(F49="","",IF(MOD(F49,1)=0,TEXT(F49,"0"),TEXT(F49,"0.################"))) &amp; "|" &amp; TEXT(G49,"yyyy-mm-dd") &amp; "|" &amp; IF(K49="", "CALL", UPPER(K49)) &amp; "|" &amp; IF(C49="", "OPEN", UPPER(C49))</f>
        <v/>
      </c>
      <c r="K49" t="inlineStr">
        <is>
          <t>Call</t>
        </is>
      </c>
    </row>
    <row r="50">
      <c r="A50" t="inlineStr">
        <is>
          <t>Travis</t>
        </is>
      </c>
      <c r="B50" s="1" t="n">
        <v>46002.36458333334</v>
      </c>
      <c r="C50" t="inlineStr">
        <is>
          <t>CLOSE</t>
        </is>
      </c>
      <c r="D50" t="inlineStr">
        <is>
          <t>NVDA</t>
        </is>
      </c>
      <c r="E50" t="n">
        <v>1</v>
      </c>
      <c r="F50" t="n">
        <v>185</v>
      </c>
      <c r="G50" s="1" t="n">
        <v>46003</v>
      </c>
      <c r="H50" t="n">
        <v>0.28</v>
      </c>
      <c r="I50" t="n">
        <v>178.34</v>
      </c>
      <c r="J50">
        <f>UPPER(D50) &amp; "|" &amp; IF(F50="","",IF(MOD(F50,1)=0,TEXT(F50,"0"),TEXT(F50,"0.################"))) &amp; "|" &amp; TEXT(G50,"yyyy-mm-dd") &amp; "|" &amp; IF(K50="", "CALL", UPPER(K50)) &amp; "|" &amp; IF(C50="", "OPEN", UPPER(C50))</f>
        <v/>
      </c>
      <c r="K50" t="inlineStr">
        <is>
          <t>Call</t>
        </is>
      </c>
    </row>
    <row r="51">
      <c r="A51" t="inlineStr">
        <is>
          <t>Travis</t>
        </is>
      </c>
      <c r="B51" s="1" t="n">
        <v>45995.52152777778</v>
      </c>
      <c r="C51" t="inlineStr">
        <is>
          <t>OPEN</t>
        </is>
      </c>
      <c r="D51" t="inlineStr">
        <is>
          <t>NVDA</t>
        </is>
      </c>
      <c r="E51" t="n">
        <v>1</v>
      </c>
      <c r="F51" t="n">
        <v>190</v>
      </c>
      <c r="G51" s="1" t="n">
        <v>46003</v>
      </c>
      <c r="H51" t="n">
        <v>7.92</v>
      </c>
      <c r="I51" t="n">
        <v>183.73</v>
      </c>
      <c r="J51">
        <f>UPPER(D51) &amp; "|" &amp; IF(F51="","",IF(MOD(F51,1)=0,TEXT(F51,"0"),TEXT(F51,"0.################"))) &amp; "|" &amp; TEXT(G51,"yyyy-mm-dd") &amp; "|" &amp; IF(K51="", "CALL", UPPER(K51)) &amp; "|" &amp; IF(C51="", "OPEN", UPPER(C51))</f>
        <v/>
      </c>
      <c r="K51" t="inlineStr">
        <is>
          <t>Call</t>
        </is>
      </c>
    </row>
    <row r="52">
      <c r="A52" t="inlineStr">
        <is>
          <t>Travis</t>
        </is>
      </c>
      <c r="B52" s="1" t="n">
        <v>45995.52152777778</v>
      </c>
      <c r="C52" t="inlineStr">
        <is>
          <t>OPEN</t>
        </is>
      </c>
      <c r="D52" t="inlineStr">
        <is>
          <t>NVDA</t>
        </is>
      </c>
      <c r="E52" t="n">
        <v>1</v>
      </c>
      <c r="F52" t="n">
        <v>177.5</v>
      </c>
      <c r="G52" s="1" t="n">
        <v>46003</v>
      </c>
      <c r="H52" t="n">
        <v>8.41</v>
      </c>
      <c r="I52" t="n">
        <v>183.73</v>
      </c>
      <c r="J52">
        <f>UPPER(D52) &amp; "|" &amp; IF(F52="","",IF(MOD(F52,1)=0,TEXT(F52,"0"),TEXT(F52,"0.################"))) &amp; "|" &amp; TEXT(G52,"yyyy-mm-dd") &amp; "|" &amp; IF(K52="", "CALL", UPPER(K52)) &amp; "|" &amp; IF(C52="", "OPEN", UPPER(C52))</f>
        <v/>
      </c>
      <c r="K52" t="inlineStr">
        <is>
          <t>Call</t>
        </is>
      </c>
    </row>
    <row r="53">
      <c r="A53" t="inlineStr">
        <is>
          <t>Travis</t>
        </is>
      </c>
      <c r="B53" s="1" t="n">
        <v>46003.35972222222</v>
      </c>
      <c r="C53" t="inlineStr">
        <is>
          <t>CLOSE</t>
        </is>
      </c>
      <c r="D53" t="inlineStr">
        <is>
          <t>NVDA</t>
        </is>
      </c>
      <c r="E53" t="n">
        <v>1</v>
      </c>
      <c r="F53" t="n">
        <v>177.5</v>
      </c>
      <c r="G53" s="1" t="n">
        <v>46003</v>
      </c>
      <c r="H53" t="n">
        <v>4.75</v>
      </c>
      <c r="I53" t="n">
        <v>182.23</v>
      </c>
      <c r="J53">
        <f>UPPER(D53) &amp; "|" &amp; IF(F53="","",IF(MOD(F53,1)=0,TEXT(F53,"0"),TEXT(F53,"0.################"))) &amp; "|" &amp; TEXT(G53,"yyyy-mm-dd") &amp; "|" &amp; IF(K53="", "CALL", UPPER(K53)) &amp; "|" &amp; IF(C53="", "OPEN", UPPER(C53))</f>
        <v/>
      </c>
      <c r="K53" t="inlineStr">
        <is>
          <t>Call</t>
        </is>
      </c>
    </row>
    <row r="54">
      <c r="A54" t="inlineStr">
        <is>
          <t>Travis</t>
        </is>
      </c>
      <c r="B54" s="1" t="n">
        <v>46002.36875</v>
      </c>
      <c r="C54" t="inlineStr">
        <is>
          <t>OPEN</t>
        </is>
      </c>
      <c r="D54" t="inlineStr">
        <is>
          <t>NVDA</t>
        </is>
      </c>
      <c r="E54" t="n">
        <v>1</v>
      </c>
      <c r="F54" t="n">
        <v>182.5</v>
      </c>
      <c r="G54" s="1" t="n">
        <v>46010</v>
      </c>
      <c r="H54" t="n">
        <v>7.16</v>
      </c>
      <c r="I54" t="n">
        <v>177.7</v>
      </c>
      <c r="J54">
        <f>UPPER(D54) &amp; "|" &amp; IF(F54="","",IF(MOD(F54,1)=0,TEXT(F54,"0"),TEXT(F54,"0.################"))) &amp; "|" &amp; TEXT(G54,"yyyy-mm-dd") &amp; "|" &amp; IF(K54="", "CALL", UPPER(K54)) &amp; "|" &amp; IF(C54="", "OPEN", UPPER(C54))</f>
        <v/>
      </c>
      <c r="K54" t="inlineStr">
        <is>
          <t>Call</t>
        </is>
      </c>
    </row>
    <row r="55">
      <c r="A55" t="inlineStr">
        <is>
          <t>Travis</t>
        </is>
      </c>
      <c r="B55" s="1" t="n">
        <v>46002.36458333334</v>
      </c>
      <c r="C55" t="inlineStr">
        <is>
          <t>OPEN</t>
        </is>
      </c>
      <c r="D55" t="inlineStr">
        <is>
          <t>NVDA</t>
        </is>
      </c>
      <c r="E55" t="n">
        <v>1</v>
      </c>
      <c r="F55" t="n">
        <v>177</v>
      </c>
      <c r="G55" s="1" t="n">
        <v>46010</v>
      </c>
      <c r="H55" t="n">
        <v>5.16</v>
      </c>
      <c r="I55" t="n">
        <v>178.34</v>
      </c>
      <c r="J55">
        <f>UPPER(D55) &amp; "|" &amp; IF(F55="","",IF(MOD(F55,1)=0,TEXT(F55,"0"),TEXT(F55,"0.################"))) &amp; "|" &amp; TEXT(G55,"yyyy-mm-dd") &amp; "|" &amp; IF(K55="", "CALL", UPPER(K55)) &amp; "|" &amp; IF(C55="", "OPEN", UPPER(C55))</f>
        <v/>
      </c>
      <c r="K55" t="inlineStr">
        <is>
          <t>Call</t>
        </is>
      </c>
    </row>
    <row r="56">
      <c r="A56" t="inlineStr">
        <is>
          <t>Travis</t>
        </is>
      </c>
      <c r="B56" s="1" t="n">
        <v>46001.40763888889</v>
      </c>
      <c r="C56" t="inlineStr">
        <is>
          <t>OPEN</t>
        </is>
      </c>
      <c r="D56" t="inlineStr">
        <is>
          <t>NVDA</t>
        </is>
      </c>
      <c r="E56" t="n">
        <v>1</v>
      </c>
      <c r="F56" t="n">
        <v>181</v>
      </c>
      <c r="G56" s="1" t="n">
        <v>46010</v>
      </c>
      <c r="H56" t="n">
        <v>3.85</v>
      </c>
      <c r="I56" t="n">
        <v>183.04</v>
      </c>
      <c r="J56">
        <f>UPPER(D56) &amp; "|" &amp; IF(F56="","",IF(MOD(F56,1)=0,TEXT(F56,"0"),TEXT(F56,"0.################"))) &amp; "|" &amp; TEXT(G56,"yyyy-mm-dd") &amp; "|" &amp; IF(K56="", "CALL", UPPER(K56)) &amp; "|" &amp; IF(C56="", "OPEN", UPPER(C56))</f>
        <v/>
      </c>
      <c r="K56" t="inlineStr">
        <is>
          <t>Put</t>
        </is>
      </c>
    </row>
    <row r="57">
      <c r="A57" t="inlineStr">
        <is>
          <t>Travis</t>
        </is>
      </c>
      <c r="B57" s="1" t="n">
        <v>46001.40972222222</v>
      </c>
      <c r="C57" t="inlineStr">
        <is>
          <t>OPEN</t>
        </is>
      </c>
      <c r="D57" t="inlineStr">
        <is>
          <t>NVDA</t>
        </is>
      </c>
      <c r="E57" t="n">
        <v>1</v>
      </c>
      <c r="F57" t="n">
        <v>187.5</v>
      </c>
      <c r="G57" s="1" t="n">
        <v>46010</v>
      </c>
      <c r="H57" t="n">
        <v>7.01</v>
      </c>
      <c r="I57" t="n">
        <v>183.31</v>
      </c>
      <c r="J57">
        <f>UPPER(D57) &amp; "|" &amp; IF(F57="","",IF(MOD(F57,1)=0,TEXT(F57,"0"),TEXT(F57,"0.################"))) &amp; "|" &amp; TEXT(G57,"yyyy-mm-dd") &amp; "|" &amp; IF(K57="", "CALL", UPPER(K57)) &amp; "|" &amp; IF(C57="", "OPEN", UPPER(C57))</f>
        <v/>
      </c>
      <c r="K57" t="inlineStr">
        <is>
          <t>Put</t>
        </is>
      </c>
    </row>
    <row r="58">
      <c r="A58" t="inlineStr">
        <is>
          <t>Travis</t>
        </is>
      </c>
      <c r="B58" s="1" t="n">
        <v>46002.36875</v>
      </c>
      <c r="C58" t="inlineStr">
        <is>
          <t>CLOSE</t>
        </is>
      </c>
      <c r="D58" t="inlineStr">
        <is>
          <t>NVDA</t>
        </is>
      </c>
      <c r="E58" t="n">
        <v>1</v>
      </c>
      <c r="F58" t="n">
        <v>187.5</v>
      </c>
      <c r="G58" s="1" t="n">
        <v>46010</v>
      </c>
      <c r="H58" t="n">
        <v>10.91</v>
      </c>
      <c r="I58" t="n">
        <v>177.7</v>
      </c>
      <c r="J58">
        <f>UPPER(D58) &amp; "|" &amp; IF(F58="","",IF(MOD(F58,1)=0,TEXT(F58,"0"),TEXT(F58,"0.################"))) &amp; "|" &amp; TEXT(G58,"yyyy-mm-dd") &amp; "|" &amp; IF(K58="", "CALL", UPPER(K58)) &amp; "|" &amp; IF(C58="", "OPEN", UPPER(C58))</f>
        <v/>
      </c>
      <c r="K58" t="inlineStr">
        <is>
          <t>Put</t>
        </is>
      </c>
    </row>
    <row r="59">
      <c r="A59" t="inlineStr">
        <is>
          <t>Travis</t>
        </is>
      </c>
      <c r="B59" s="1" t="n">
        <v>46003.35972222222</v>
      </c>
      <c r="C59" t="inlineStr">
        <is>
          <t>OPEN</t>
        </is>
      </c>
      <c r="D59" t="inlineStr">
        <is>
          <t>NVDA</t>
        </is>
      </c>
      <c r="E59" t="n">
        <v>1</v>
      </c>
      <c r="F59" t="n">
        <v>184</v>
      </c>
      <c r="G59" s="1" t="n">
        <v>46010</v>
      </c>
      <c r="H59" t="n">
        <v>2.79</v>
      </c>
      <c r="I59" t="n">
        <v>182.23</v>
      </c>
      <c r="J59">
        <f>UPPER(D59) &amp; "|" &amp; IF(F59="","",IF(MOD(F59,1)=0,TEXT(F59,"0"),TEXT(F59,"0.################"))) &amp; "|" &amp; TEXT(G59,"yyyy-mm-dd") &amp; "|" &amp; IF(K59="", "CALL", UPPER(K59)) &amp; "|" &amp; IF(C59="", "OPEN", UPPER(C59))</f>
        <v/>
      </c>
      <c r="K59" t="inlineStr">
        <is>
          <t>Call</t>
        </is>
      </c>
    </row>
    <row r="60">
      <c r="A60" t="inlineStr">
        <is>
          <t>Travis</t>
        </is>
      </c>
      <c r="B60" s="1" t="n">
        <v>46003.36180555556</v>
      </c>
      <c r="C60" t="inlineStr">
        <is>
          <t>CLOSE</t>
        </is>
      </c>
      <c r="D60" t="inlineStr">
        <is>
          <t>NVDA</t>
        </is>
      </c>
      <c r="E60" t="n">
        <v>1</v>
      </c>
      <c r="F60" t="n">
        <v>177</v>
      </c>
      <c r="G60" s="1" t="n">
        <v>46010</v>
      </c>
      <c r="H60" t="n">
        <v>7.15</v>
      </c>
      <c r="I60" t="n">
        <v>182.17</v>
      </c>
      <c r="J60">
        <f>UPPER(D60) &amp; "|" &amp; IF(F60="","",IF(MOD(F60,1)=0,TEXT(F60,"0"),TEXT(F60,"0.################"))) &amp; "|" &amp; TEXT(G60,"yyyy-mm-dd") &amp; "|" &amp; IF(K60="", "CALL", UPPER(K60)) &amp; "|" &amp; IF(C60="", "OPEN", UPPER(C60))</f>
        <v/>
      </c>
      <c r="K60" t="inlineStr">
        <is>
          <t>Call</t>
        </is>
      </c>
    </row>
    <row r="61">
      <c r="A61" t="inlineStr">
        <is>
          <t>Travis</t>
        </is>
      </c>
      <c r="B61" s="1" t="n">
        <v>46003.36180555556</v>
      </c>
      <c r="C61" t="inlineStr">
        <is>
          <t>OPEN</t>
        </is>
      </c>
      <c r="D61" t="inlineStr">
        <is>
          <t>NVDA</t>
        </is>
      </c>
      <c r="E61" t="n">
        <v>1</v>
      </c>
      <c r="F61" t="n">
        <v>179</v>
      </c>
      <c r="G61" s="1" t="n">
        <v>46010</v>
      </c>
      <c r="H61" t="n">
        <v>5.72</v>
      </c>
      <c r="I61" t="n">
        <v>182.17</v>
      </c>
      <c r="J61">
        <f>UPPER(D61) &amp; "|" &amp; IF(F61="","",IF(MOD(F61,1)=0,TEXT(F61,"0"),TEXT(F61,"0.################"))) &amp; "|" &amp; TEXT(G61,"yyyy-mm-dd") &amp; "|" &amp; IF(K61="", "CALL", UPPER(K61)) &amp; "|" &amp; IF(C61="", "OPEN", UPPER(C61))</f>
        <v/>
      </c>
      <c r="K61" t="inlineStr">
        <is>
          <t>Call</t>
        </is>
      </c>
    </row>
    <row r="62">
      <c r="A62" t="inlineStr">
        <is>
          <t>Travis</t>
        </is>
      </c>
      <c r="B62" s="1" t="n">
        <v>46006.35486111111</v>
      </c>
      <c r="C62" t="inlineStr">
        <is>
          <t>CLOSE</t>
        </is>
      </c>
      <c r="D62" t="inlineStr">
        <is>
          <t>NVDA</t>
        </is>
      </c>
      <c r="E62" t="n">
        <v>1</v>
      </c>
      <c r="F62" t="n">
        <v>179</v>
      </c>
      <c r="G62" s="1" t="n">
        <v>46010</v>
      </c>
      <c r="H62" t="n">
        <v>2.77</v>
      </c>
      <c r="I62" t="n">
        <v>177.51</v>
      </c>
      <c r="J62">
        <f>UPPER(D62) &amp; "|" &amp; IF(F62="","",IF(MOD(F62,1)=0,TEXT(F62,"0"),TEXT(F62,"0.################"))) &amp; "|" &amp; TEXT(G62,"yyyy-mm-dd") &amp; "|" &amp; IF(K62="", "CALL", UPPER(K62)) &amp; "|" &amp; IF(C62="", "OPEN", UPPER(C62))</f>
        <v/>
      </c>
      <c r="K62" t="inlineStr">
        <is>
          <t>Call</t>
        </is>
      </c>
    </row>
    <row r="63">
      <c r="A63" t="inlineStr">
        <is>
          <t>Travis</t>
        </is>
      </c>
      <c r="B63" s="1" t="n">
        <v>46006.35486111111</v>
      </c>
      <c r="C63" t="inlineStr">
        <is>
          <t>OPEN</t>
        </is>
      </c>
      <c r="D63" t="inlineStr">
        <is>
          <t>NVDA</t>
        </is>
      </c>
      <c r="E63" t="n">
        <v>1</v>
      </c>
      <c r="F63" t="n">
        <v>175</v>
      </c>
      <c r="G63" s="1" t="n">
        <v>46010</v>
      </c>
      <c r="H63" t="n">
        <v>5.01</v>
      </c>
      <c r="I63" t="n">
        <v>177.51</v>
      </c>
      <c r="J63">
        <f>UPPER(D63) &amp; "|" &amp; IF(F63="","",IF(MOD(F63,1)=0,TEXT(F63,"0"),TEXT(F63,"0.################"))) &amp; "|" &amp; TEXT(G63,"yyyy-mm-dd") &amp; "|" &amp; IF(K63="", "CALL", UPPER(K63)) &amp; "|" &amp; IF(C63="", "OPEN", UPPER(C63))</f>
        <v/>
      </c>
      <c r="K63" t="inlineStr">
        <is>
          <t>Call</t>
        </is>
      </c>
    </row>
    <row r="64">
      <c r="A64" t="inlineStr">
        <is>
          <t>Travis</t>
        </is>
      </c>
      <c r="B64" s="1" t="n">
        <v>46007.36597222222</v>
      </c>
      <c r="C64" t="inlineStr">
        <is>
          <t>CLOSE</t>
        </is>
      </c>
      <c r="D64" t="inlineStr">
        <is>
          <t>NVDA</t>
        </is>
      </c>
      <c r="E64" t="n">
        <v>1</v>
      </c>
      <c r="F64" t="n">
        <v>175</v>
      </c>
      <c r="G64" s="1" t="n">
        <v>46010</v>
      </c>
      <c r="H64" t="n">
        <v>3.72</v>
      </c>
      <c r="I64" t="n">
        <v>176.18</v>
      </c>
      <c r="J64">
        <f>UPPER(D64) &amp; "|" &amp; IF(F64="","",IF(MOD(F64,1)=0,TEXT(F64,"0"),TEXT(F64,"0.################"))) &amp; "|" &amp; TEXT(G64,"yyyy-mm-dd") &amp; "|" &amp; IF(K64="", "CALL", UPPER(K64)) &amp; "|" &amp; IF(C64="", "OPEN", UPPER(C64))</f>
        <v/>
      </c>
      <c r="K64" t="inlineStr">
        <is>
          <t>Call</t>
        </is>
      </c>
    </row>
    <row r="65">
      <c r="A65" t="inlineStr">
        <is>
          <t>Travis</t>
        </is>
      </c>
      <c r="B65" s="1" t="n">
        <v>46007.36597222222</v>
      </c>
      <c r="C65" t="inlineStr">
        <is>
          <t>OPEN</t>
        </is>
      </c>
      <c r="D65" t="inlineStr">
        <is>
          <t>NVDA</t>
        </is>
      </c>
      <c r="E65" t="n">
        <v>1</v>
      </c>
      <c r="F65" t="n">
        <v>173</v>
      </c>
      <c r="G65" s="1" t="n">
        <v>46010</v>
      </c>
      <c r="H65" t="n">
        <v>5.03</v>
      </c>
      <c r="I65" t="n">
        <v>176.18</v>
      </c>
      <c r="J65">
        <f>UPPER(D65) &amp; "|" &amp; IF(F65="","",IF(MOD(F65,1)=0,TEXT(F65,"0"),TEXT(F65,"0.################"))) &amp; "|" &amp; TEXT(G65,"yyyy-mm-dd") &amp; "|" &amp; IF(K65="", "CALL", UPPER(K65)) &amp; "|" &amp; IF(C65="", "OPEN", UPPER(C65))</f>
        <v/>
      </c>
      <c r="K65" t="inlineStr">
        <is>
          <t>Call</t>
        </is>
      </c>
    </row>
    <row r="66">
      <c r="A66" t="inlineStr">
        <is>
          <t>Travis</t>
        </is>
      </c>
      <c r="B66" s="1" t="n">
        <v>46008.40902777778</v>
      </c>
      <c r="C66" t="inlineStr">
        <is>
          <t>OPEN</t>
        </is>
      </c>
      <c r="D66" t="inlineStr">
        <is>
          <t>NVDA</t>
        </is>
      </c>
      <c r="E66" t="n">
        <v>1</v>
      </c>
      <c r="F66" t="n">
        <v>169</v>
      </c>
      <c r="G66" s="1" t="n">
        <v>46010</v>
      </c>
      <c r="H66" t="n">
        <v>4.85</v>
      </c>
      <c r="I66" t="n">
        <v>172.64</v>
      </c>
      <c r="J66">
        <f>UPPER(D66) &amp; "|" &amp; IF(F66="","",IF(MOD(F66,1)=0,TEXT(F66,"0"),TEXT(F66,"0.################"))) &amp; "|" &amp; TEXT(G66,"yyyy-mm-dd") &amp; "|" &amp; IF(K66="", "CALL", UPPER(K66)) &amp; "|" &amp; IF(C66="", "OPEN", UPPER(C66))</f>
        <v/>
      </c>
      <c r="K66" t="inlineStr">
        <is>
          <t>Call</t>
        </is>
      </c>
    </row>
    <row r="67">
      <c r="A67" t="inlineStr">
        <is>
          <t>Travis</t>
        </is>
      </c>
      <c r="B67" s="1" t="n">
        <v>46003.40069444444</v>
      </c>
      <c r="C67" t="inlineStr">
        <is>
          <t>CLOSE</t>
        </is>
      </c>
      <c r="D67" t="inlineStr">
        <is>
          <t>NVDA</t>
        </is>
      </c>
      <c r="E67" t="n">
        <v>1</v>
      </c>
      <c r="F67" t="n">
        <v>184</v>
      </c>
      <c r="G67" s="1" t="n">
        <v>46010</v>
      </c>
      <c r="H67" t="n">
        <v>1.8</v>
      </c>
      <c r="I67" t="n">
        <v>179.45</v>
      </c>
      <c r="J67">
        <f>UPPER(D67) &amp; "|" &amp; IF(F67="","",IF(MOD(F67,1)=0,TEXT(F67,"0"),TEXT(F67,"0.################"))) &amp; "|" &amp; TEXT(G67,"yyyy-mm-dd") &amp; "|" &amp; IF(K67="", "CALL", UPPER(K67)) &amp; "|" &amp; IF(C67="", "OPEN", UPPER(C67))</f>
        <v/>
      </c>
      <c r="K67" t="inlineStr">
        <is>
          <t>Call</t>
        </is>
      </c>
    </row>
    <row r="68">
      <c r="A68" t="inlineStr">
        <is>
          <t>Travis</t>
        </is>
      </c>
      <c r="B68" s="1" t="n">
        <v>46003.40069444444</v>
      </c>
      <c r="C68" t="inlineStr">
        <is>
          <t>OPEN</t>
        </is>
      </c>
      <c r="D68" t="inlineStr">
        <is>
          <t>NVDA</t>
        </is>
      </c>
      <c r="E68" t="n">
        <v>1</v>
      </c>
      <c r="F68" t="n">
        <v>182</v>
      </c>
      <c r="G68" s="1" t="n">
        <v>46010</v>
      </c>
      <c r="H68" t="n">
        <v>2.53</v>
      </c>
      <c r="I68" t="n">
        <v>179.45</v>
      </c>
      <c r="J68">
        <f>UPPER(D68) &amp; "|" &amp; IF(F68="","",IF(MOD(F68,1)=0,TEXT(F68,"0"),TEXT(F68,"0.################"))) &amp; "|" &amp; TEXT(G68,"yyyy-mm-dd") &amp; "|" &amp; IF(K68="", "CALL", UPPER(K68)) &amp; "|" &amp; IF(C68="", "OPEN", UPPER(C68))</f>
        <v/>
      </c>
      <c r="K68" t="inlineStr">
        <is>
          <t>Put</t>
        </is>
      </c>
    </row>
    <row r="69">
      <c r="A69" t="inlineStr">
        <is>
          <t>Travis</t>
        </is>
      </c>
      <c r="B69" s="1" t="n">
        <v>46006.35555555556</v>
      </c>
      <c r="C69" t="inlineStr">
        <is>
          <t>CLOSE</t>
        </is>
      </c>
      <c r="D69" t="inlineStr">
        <is>
          <t>NVDA</t>
        </is>
      </c>
      <c r="E69" t="n">
        <v>1</v>
      </c>
      <c r="F69" t="n">
        <v>182</v>
      </c>
      <c r="G69" s="1" t="n">
        <v>46010</v>
      </c>
      <c r="H69" t="n">
        <v>1.56</v>
      </c>
      <c r="I69" t="n">
        <v>177.69</v>
      </c>
      <c r="J69">
        <f>UPPER(D69) &amp; "|" &amp; IF(F69="","",IF(MOD(F69,1)=0,TEXT(F69,"0"),TEXT(F69,"0.################"))) &amp; "|" &amp; TEXT(G69,"yyyy-mm-dd") &amp; "|" &amp; IF(K69="", "CALL", UPPER(K69)) &amp; "|" &amp; IF(C69="", "OPEN", UPPER(C69))</f>
        <v/>
      </c>
      <c r="K69" t="inlineStr">
        <is>
          <t>Put</t>
        </is>
      </c>
    </row>
    <row r="70">
      <c r="A70" t="inlineStr">
        <is>
          <t>Travis</t>
        </is>
      </c>
      <c r="B70" s="1" t="n">
        <v>46006.35555555556</v>
      </c>
      <c r="C70" t="inlineStr">
        <is>
          <t>OPEN</t>
        </is>
      </c>
      <c r="D70" t="inlineStr">
        <is>
          <t>NVDA</t>
        </is>
      </c>
      <c r="E70" t="n">
        <v>1</v>
      </c>
      <c r="F70" t="n">
        <v>175</v>
      </c>
      <c r="G70" s="1" t="n">
        <v>46010</v>
      </c>
      <c r="H70" t="n">
        <v>4.98</v>
      </c>
      <c r="I70" t="n">
        <v>177.69</v>
      </c>
      <c r="J70">
        <f>UPPER(D70) &amp; "|" &amp; IF(F70="","",IF(MOD(F70,1)=0,TEXT(F70,"0"),TEXT(F70,"0.################"))) &amp; "|" &amp; TEXT(G70,"yyyy-mm-dd") &amp; "|" &amp; IF(K70="", "CALL", UPPER(K70)) &amp; "|" &amp; IF(C70="", "OPEN", UPPER(C70))</f>
        <v/>
      </c>
      <c r="K70" t="inlineStr">
        <is>
          <t>Put</t>
        </is>
      </c>
    </row>
    <row r="71">
      <c r="A71" t="inlineStr">
        <is>
          <t>Travis</t>
        </is>
      </c>
      <c r="B71" s="1" t="n">
        <v>46007.36597222222</v>
      </c>
      <c r="C71" t="inlineStr">
        <is>
          <t>OPEN</t>
        </is>
      </c>
      <c r="D71" t="inlineStr">
        <is>
          <t>NVDA</t>
        </is>
      </c>
      <c r="E71" t="n">
        <v>1</v>
      </c>
      <c r="F71" t="n">
        <v>173</v>
      </c>
      <c r="G71" s="1" t="n">
        <v>46010</v>
      </c>
      <c r="H71" t="n">
        <v>5.03</v>
      </c>
      <c r="I71" t="n">
        <v>176.18</v>
      </c>
      <c r="J71">
        <f>UPPER(D71) &amp; "|" &amp; IF(F71="","",IF(MOD(F71,1)=0,TEXT(F71,"0"),TEXT(F71,"0.################"))) &amp; "|" &amp; TEXT(G71,"yyyy-mm-dd") &amp; "|" &amp; IF(K71="", "CALL", UPPER(K71)) &amp; "|" &amp; IF(C71="", "OPEN", UPPER(C71))</f>
        <v/>
      </c>
      <c r="K71" t="inlineStr">
        <is>
          <t>Call</t>
        </is>
      </c>
    </row>
    <row r="72">
      <c r="A72" t="inlineStr">
        <is>
          <t>Travis</t>
        </is>
      </c>
      <c r="B72" s="1" t="n">
        <v>46008.40902777778</v>
      </c>
      <c r="C72" t="inlineStr">
        <is>
          <t>CLOSE</t>
        </is>
      </c>
      <c r="D72" t="inlineStr">
        <is>
          <t>NVDA</t>
        </is>
      </c>
      <c r="E72" t="n">
        <v>2</v>
      </c>
      <c r="F72" t="n">
        <v>173</v>
      </c>
      <c r="G72" s="1" t="n">
        <v>46010</v>
      </c>
      <c r="H72" t="n">
        <v>2.33</v>
      </c>
      <c r="I72" t="n">
        <v>172.64</v>
      </c>
      <c r="J72">
        <f>UPPER(D72) &amp; "|" &amp; IF(F72="","",IF(MOD(F72,1)=0,TEXT(F72,"0"),TEXT(F72,"0.################"))) &amp; "|" &amp; TEXT(G72,"yyyy-mm-dd") &amp; "|" &amp; IF(K72="", "CALL", UPPER(K72)) &amp; "|" &amp; IF(C72="", "OPEN", UPPER(C72))</f>
        <v/>
      </c>
      <c r="K72" t="inlineStr">
        <is>
          <t>Call</t>
        </is>
      </c>
    </row>
    <row r="73">
      <c r="A73" t="inlineStr">
        <is>
          <t>Travis</t>
        </is>
      </c>
      <c r="B73" s="1" t="n">
        <v>46007.36597222222</v>
      </c>
      <c r="C73" t="inlineStr">
        <is>
          <t>CLOSE</t>
        </is>
      </c>
      <c r="D73" t="inlineStr">
        <is>
          <t>NVDA</t>
        </is>
      </c>
      <c r="E73" t="n">
        <v>1</v>
      </c>
      <c r="F73" t="n">
        <v>175</v>
      </c>
      <c r="G73" s="1" t="n">
        <v>46010</v>
      </c>
      <c r="H73" t="n">
        <v>3.72</v>
      </c>
      <c r="I73" t="n">
        <v>176.18</v>
      </c>
      <c r="J73">
        <f>UPPER(D73) &amp; "|" &amp; IF(F73="","",IF(MOD(F73,1)=0,TEXT(F73,"0"),TEXT(F73,"0.################"))) &amp; "|" &amp; TEXT(G73,"yyyy-mm-dd") &amp; "|" &amp; IF(K73="", "CALL", UPPER(K73)) &amp; "|" &amp; IF(C73="", "OPEN", UPPER(C73))</f>
        <v/>
      </c>
      <c r="K73" t="inlineStr">
        <is>
          <t>Put</t>
        </is>
      </c>
    </row>
    <row r="74">
      <c r="A74" t="inlineStr">
        <is>
          <t>Travis</t>
        </is>
      </c>
      <c r="B74" s="1" t="n">
        <v>46008.40902777778</v>
      </c>
      <c r="C74" t="inlineStr">
        <is>
          <t>OPEN</t>
        </is>
      </c>
      <c r="D74" t="inlineStr">
        <is>
          <t>NVDA</t>
        </is>
      </c>
      <c r="E74" t="n">
        <v>1</v>
      </c>
      <c r="F74" t="n">
        <v>169</v>
      </c>
      <c r="G74" s="1" t="n">
        <v>46010</v>
      </c>
      <c r="H74" t="n">
        <v>4.85</v>
      </c>
      <c r="I74" t="n">
        <v>172.64</v>
      </c>
      <c r="J74">
        <f>UPPER(D74) &amp; "|" &amp; IF(F74="","",IF(MOD(F74,1)=0,TEXT(F74,"0"),TEXT(F74,"0.################"))) &amp; "|" &amp; TEXT(G74,"yyyy-mm-dd") &amp; "|" &amp; IF(K74="", "CALL", UPPER(K74)) &amp; "|" &amp; IF(C74="", "OPEN", UPPER(C74))</f>
        <v/>
      </c>
      <c r="K74" t="inlineStr">
        <is>
          <t>Call</t>
        </is>
      </c>
    </row>
    <row r="75">
      <c r="A75" t="inlineStr">
        <is>
          <t>Travis</t>
        </is>
      </c>
      <c r="B75" s="1" t="n">
        <v>46003.4</v>
      </c>
      <c r="C75" t="inlineStr">
        <is>
          <t>CLOSE</t>
        </is>
      </c>
      <c r="D75" t="inlineStr">
        <is>
          <t>NVDA</t>
        </is>
      </c>
      <c r="E75" t="n">
        <v>1</v>
      </c>
      <c r="F75" t="n">
        <v>181</v>
      </c>
      <c r="G75" s="1" t="n">
        <v>46010</v>
      </c>
      <c r="H75" t="n">
        <v>4.37</v>
      </c>
      <c r="I75" t="n">
        <v>179.31</v>
      </c>
      <c r="J75">
        <f>UPPER(D75) &amp; "|" &amp; IF(F75="","",IF(MOD(F75,1)=0,TEXT(F75,"0"),TEXT(F75,"0.################"))) &amp; "|" &amp; TEXT(G75,"yyyy-mm-dd") &amp; "|" &amp; IF(K75="", "CALL", UPPER(K75)) &amp; "|" &amp; IF(C75="", "OPEN", UPPER(C75))</f>
        <v/>
      </c>
      <c r="K75" t="inlineStr">
        <is>
          <t>Put</t>
        </is>
      </c>
    </row>
    <row r="76">
      <c r="A76" t="inlineStr">
        <is>
          <t>Travis</t>
        </is>
      </c>
      <c r="B76" s="1" t="n">
        <v>46003.4</v>
      </c>
      <c r="C76" t="inlineStr">
        <is>
          <t>OPEN</t>
        </is>
      </c>
      <c r="D76" t="inlineStr">
        <is>
          <t>NVDA</t>
        </is>
      </c>
      <c r="E76" t="n">
        <v>1</v>
      </c>
      <c r="F76" t="n">
        <v>178</v>
      </c>
      <c r="G76" s="1" t="n">
        <v>46010</v>
      </c>
      <c r="H76" t="n">
        <v>3</v>
      </c>
      <c r="I76" t="n">
        <v>179.31</v>
      </c>
      <c r="J76">
        <f>UPPER(D76) &amp; "|" &amp; IF(F76="","",IF(MOD(F76,1)=0,TEXT(F76,"0"),TEXT(F76,"0.################"))) &amp; "|" &amp; TEXT(G76,"yyyy-mm-dd") &amp; "|" &amp; IF(K76="", "CALL", UPPER(K76)) &amp; "|" &amp; IF(C76="", "OPEN", UPPER(C76))</f>
        <v/>
      </c>
      <c r="K76" t="inlineStr">
        <is>
          <t>Put</t>
        </is>
      </c>
    </row>
    <row r="77">
      <c r="A77" t="inlineStr">
        <is>
          <t>Travis</t>
        </is>
      </c>
      <c r="B77" s="1" t="n">
        <v>46006.35555555556</v>
      </c>
      <c r="C77" t="inlineStr">
        <is>
          <t>CLOSE</t>
        </is>
      </c>
      <c r="D77" t="inlineStr">
        <is>
          <t>NVDA</t>
        </is>
      </c>
      <c r="E77" t="n">
        <v>1</v>
      </c>
      <c r="F77" t="n">
        <v>178</v>
      </c>
      <c r="G77" s="1" t="n">
        <v>46010</v>
      </c>
      <c r="H77" t="n">
        <v>3.4</v>
      </c>
      <c r="I77" t="n">
        <v>177.69</v>
      </c>
      <c r="J77">
        <f>UPPER(D77) &amp; "|" &amp; IF(F77="","",IF(MOD(F77,1)=0,TEXT(F77,"0"),TEXT(F77,"0.################"))) &amp; "|" &amp; TEXT(G77,"yyyy-mm-dd") &amp; "|" &amp; IF(K77="", "CALL", UPPER(K77)) &amp; "|" &amp; IF(C77="", "OPEN", UPPER(C77))</f>
        <v/>
      </c>
      <c r="K77" t="inlineStr">
        <is>
          <t>Put</t>
        </is>
      </c>
    </row>
    <row r="78" ht="12.75" customHeight="1">
      <c r="A78" t="inlineStr">
        <is>
          <t>Travis</t>
        </is>
      </c>
      <c r="B78" s="1" t="n">
        <v>46006.35555555556</v>
      </c>
      <c r="C78" t="inlineStr">
        <is>
          <t>OPEN</t>
        </is>
      </c>
      <c r="D78" t="inlineStr">
        <is>
          <t>NVDA</t>
        </is>
      </c>
      <c r="E78" t="n">
        <v>1</v>
      </c>
      <c r="F78" t="n">
        <v>181</v>
      </c>
      <c r="G78" s="1" t="n">
        <v>46010</v>
      </c>
      <c r="H78" t="n">
        <v>5.05</v>
      </c>
      <c r="I78" t="n">
        <v>177.69</v>
      </c>
      <c r="J78">
        <f>UPPER(D78) &amp; "|" &amp; IF(F78="","",IF(MOD(F78,1)=0,TEXT(F78,"0"),TEXT(F78,"0.################"))) &amp; "|" &amp; TEXT(G78,"yyyy-mm-dd") &amp; "|" &amp; IF(K78="", "CALL", UPPER(K78)) &amp; "|" &amp; IF(C78="", "OPEN", UPPER(C78))</f>
        <v/>
      </c>
      <c r="K78" t="inlineStr">
        <is>
          <t>Put</t>
        </is>
      </c>
    </row>
    <row r="79">
      <c r="A79" t="inlineStr">
        <is>
          <t>Travis</t>
        </is>
      </c>
      <c r="B79" s="1" t="n">
        <v>46008.40972222222</v>
      </c>
      <c r="C79" t="inlineStr">
        <is>
          <t>CLOSE</t>
        </is>
      </c>
      <c r="D79" t="inlineStr">
        <is>
          <t>NVDA</t>
        </is>
      </c>
      <c r="E79" t="n">
        <v>1</v>
      </c>
      <c r="F79" t="n">
        <v>181</v>
      </c>
      <c r="G79" s="1" t="n">
        <v>46010</v>
      </c>
      <c r="H79" t="n">
        <v>8.75</v>
      </c>
      <c r="I79" t="n">
        <v>172.46</v>
      </c>
      <c r="J79">
        <f>UPPER(D79) &amp; "|" &amp; IF(F79="","",IF(MOD(F79,1)=0,TEXT(F79,"0"),TEXT(F79,"0.################"))) &amp; "|" &amp; TEXT(G79,"yyyy-mm-dd") &amp; "|" &amp; IF(K79="", "CALL", UPPER(K79)) &amp; "|" &amp; IF(C79="", "OPEN", UPPER(C79))</f>
        <v/>
      </c>
      <c r="K79" t="inlineStr">
        <is>
          <t>Put</t>
        </is>
      </c>
    </row>
    <row r="80">
      <c r="A80" t="inlineStr">
        <is>
          <t>Travis</t>
        </is>
      </c>
      <c r="B80" s="1" t="n">
        <v>46008.40972222222</v>
      </c>
      <c r="C80" t="inlineStr">
        <is>
          <t>OPEN</t>
        </is>
      </c>
      <c r="D80" t="inlineStr">
        <is>
          <t>NVDA</t>
        </is>
      </c>
      <c r="E80" t="n">
        <v>1</v>
      </c>
      <c r="F80" t="n">
        <v>177</v>
      </c>
      <c r="G80" s="1" t="n">
        <v>46010</v>
      </c>
      <c r="H80" t="n">
        <v>5.3</v>
      </c>
      <c r="I80" t="n">
        <v>172.46</v>
      </c>
      <c r="J80">
        <f>UPPER(D80) &amp; "|" &amp; IF(F80="","",IF(MOD(F80,1)=0,TEXT(F80,"0"),TEXT(F80,"0.################"))) &amp; "|" &amp; TEXT(G80,"yyyy-mm-dd") &amp; "|" &amp; IF(K80="", "CALL", UPPER(K80)) &amp; "|" &amp; IF(C80="", "OPEN", UPPER(C80))</f>
        <v/>
      </c>
      <c r="K80" t="inlineStr">
        <is>
          <t>Put</t>
        </is>
      </c>
    </row>
    <row r="81">
      <c r="A81" t="inlineStr">
        <is>
          <t>Travis</t>
        </is>
      </c>
      <c r="B81" s="1" t="n">
        <v>46003.36111111111</v>
      </c>
      <c r="C81" t="inlineStr">
        <is>
          <t>CLOSE</t>
        </is>
      </c>
      <c r="D81" t="inlineStr">
        <is>
          <t>NVDA</t>
        </is>
      </c>
      <c r="E81" t="n">
        <v>1</v>
      </c>
      <c r="F81" t="n">
        <v>182.5</v>
      </c>
      <c r="G81" s="1" t="n">
        <v>46010</v>
      </c>
      <c r="H81" t="n">
        <v>3.63</v>
      </c>
      <c r="I81" t="n">
        <v>182.42</v>
      </c>
      <c r="J81">
        <f>UPPER(D81) &amp; "|" &amp; IF(F81="","",IF(MOD(F81,1)=0,TEXT(F81,"0"),TEXT(F81,"0.################"))) &amp; "|" &amp; TEXT(G81,"yyyy-mm-dd") &amp; "|" &amp; IF(K81="", "CALL", UPPER(K81)) &amp; "|" &amp; IF(C81="", "OPEN", UPPER(C81))</f>
        <v/>
      </c>
      <c r="K81" t="inlineStr">
        <is>
          <t>Call</t>
        </is>
      </c>
    </row>
    <row r="82">
      <c r="A82" t="inlineStr">
        <is>
          <t>Travis</t>
        </is>
      </c>
      <c r="B82" s="1" t="n">
        <v>46003.36111111111</v>
      </c>
      <c r="C82" t="inlineStr">
        <is>
          <t>OPEN</t>
        </is>
      </c>
      <c r="D82" t="inlineStr">
        <is>
          <t>NVDA</t>
        </is>
      </c>
      <c r="E82" t="n">
        <v>1</v>
      </c>
      <c r="F82" t="n">
        <v>186</v>
      </c>
      <c r="G82" s="1" t="n">
        <v>46010</v>
      </c>
      <c r="H82" t="n">
        <v>5.61</v>
      </c>
      <c r="I82" t="n">
        <v>182.42</v>
      </c>
      <c r="J82">
        <f>UPPER(D82) &amp; "|" &amp; IF(F82="","",IF(MOD(F82,1)=0,TEXT(F82,"0"),TEXT(F82,"0.################"))) &amp; "|" &amp; TEXT(G82,"yyyy-mm-dd") &amp; "|" &amp; IF(K82="", "CALL", UPPER(K82)) &amp; "|" &amp; IF(C82="", "OPEN", UPPER(C82))</f>
        <v/>
      </c>
      <c r="K82" t="inlineStr">
        <is>
          <t>Call</t>
        </is>
      </c>
    </row>
    <row r="83">
      <c r="A83" t="inlineStr">
        <is>
          <t>Travis</t>
        </is>
      </c>
      <c r="B83" s="1" t="n">
        <v>46003.40138888889</v>
      </c>
      <c r="C83" t="inlineStr">
        <is>
          <t>CLOSE</t>
        </is>
      </c>
      <c r="D83" t="inlineStr">
        <is>
          <t>NVDA</t>
        </is>
      </c>
      <c r="E83" t="n">
        <v>1</v>
      </c>
      <c r="F83" t="n">
        <v>186</v>
      </c>
      <c r="G83" s="1" t="n">
        <v>46010</v>
      </c>
      <c r="H83" t="n">
        <v>7.7</v>
      </c>
      <c r="I83" t="n">
        <v>179.37</v>
      </c>
      <c r="J83">
        <f>UPPER(D83) &amp; "|" &amp; IF(F83="","",IF(MOD(F83,1)=0,TEXT(F83,"0"),TEXT(F83,"0.################"))) &amp; "|" &amp; TEXT(G83,"yyyy-mm-dd") &amp; "|" &amp; IF(K83="", "CALL", UPPER(K83)) &amp; "|" &amp; IF(C83="", "OPEN", UPPER(C83))</f>
        <v/>
      </c>
      <c r="K83" t="inlineStr">
        <is>
          <t>Call</t>
        </is>
      </c>
    </row>
    <row r="84">
      <c r="A84" t="inlineStr">
        <is>
          <t>Travis</t>
        </is>
      </c>
      <c r="B84" s="1" t="n">
        <v>46003.40138888889</v>
      </c>
      <c r="C84" t="inlineStr">
        <is>
          <t>OPEN</t>
        </is>
      </c>
      <c r="D84" t="inlineStr">
        <is>
          <t>NVDA</t>
        </is>
      </c>
      <c r="E84" t="n">
        <v>1</v>
      </c>
      <c r="F84" t="n">
        <v>183</v>
      </c>
      <c r="G84" s="1" t="n">
        <v>46010</v>
      </c>
      <c r="H84" t="n">
        <v>5.5</v>
      </c>
      <c r="I84" t="n">
        <v>179.37</v>
      </c>
      <c r="J84">
        <f>UPPER(D84) &amp; "|" &amp; IF(F84="","",IF(MOD(F84,1)=0,TEXT(F84,"0"),TEXT(F84,"0.################"))) &amp; "|" &amp; TEXT(G84,"yyyy-mm-dd") &amp; "|" &amp; IF(K84="", "CALL", UPPER(K84)) &amp; "|" &amp; IF(C84="", "OPEN", UPPER(C84))</f>
        <v/>
      </c>
      <c r="K84" t="inlineStr">
        <is>
          <t>Put</t>
        </is>
      </c>
    </row>
    <row r="85">
      <c r="A85" t="inlineStr">
        <is>
          <t>Travis</t>
        </is>
      </c>
      <c r="B85" s="1" t="n">
        <v>46006.35625</v>
      </c>
      <c r="C85" t="inlineStr">
        <is>
          <t>CLOSE</t>
        </is>
      </c>
      <c r="D85" t="inlineStr">
        <is>
          <t>NVDA</t>
        </is>
      </c>
      <c r="E85" t="n">
        <v>1</v>
      </c>
      <c r="F85" t="n">
        <v>183</v>
      </c>
      <c r="G85" s="1" t="n">
        <v>46010</v>
      </c>
      <c r="H85" t="n">
        <v>6.51</v>
      </c>
      <c r="I85" t="n">
        <v>177.53</v>
      </c>
      <c r="J85">
        <f>UPPER(D85) &amp; "|" &amp; IF(F85="","",IF(MOD(F85,1)=0,TEXT(F85,"0"),TEXT(F85,"0.################"))) &amp; "|" &amp; TEXT(G85,"yyyy-mm-dd") &amp; "|" &amp; IF(K85="", "CALL", UPPER(K85)) &amp; "|" &amp; IF(C85="", "OPEN", UPPER(C85))</f>
        <v/>
      </c>
      <c r="K85" t="inlineStr">
        <is>
          <t>Put</t>
        </is>
      </c>
    </row>
    <row r="86">
      <c r="A86" t="inlineStr">
        <is>
          <t>Travis</t>
        </is>
      </c>
      <c r="B86" s="1" t="n">
        <v>46006.35625</v>
      </c>
      <c r="C86" t="inlineStr">
        <is>
          <t>OPEN</t>
        </is>
      </c>
      <c r="D86" t="inlineStr">
        <is>
          <t>NVDA</t>
        </is>
      </c>
      <c r="E86" t="n">
        <v>1</v>
      </c>
      <c r="F86" t="n">
        <v>181</v>
      </c>
      <c r="G86" s="1" t="n">
        <v>46010</v>
      </c>
      <c r="H86" t="n">
        <v>5.11</v>
      </c>
      <c r="I86" t="n">
        <v>177.53</v>
      </c>
      <c r="J86">
        <f>UPPER(D86) &amp; "|" &amp; IF(F86="","",IF(MOD(F86,1)=0,TEXT(F86,"0"),TEXT(F86,"0.################"))) &amp; "|" &amp; TEXT(G86,"yyyy-mm-dd") &amp; "|" &amp; IF(K86="", "CALL", UPPER(K86)) &amp; "|" &amp; IF(C86="", "OPEN", UPPER(C86))</f>
        <v/>
      </c>
      <c r="K86" t="inlineStr">
        <is>
          <t>Put</t>
        </is>
      </c>
    </row>
    <row r="87">
      <c r="A87" t="inlineStr">
        <is>
          <t>Travis</t>
        </is>
      </c>
      <c r="B87" s="1" t="n">
        <v>46008.40972222222</v>
      </c>
      <c r="C87" t="inlineStr">
        <is>
          <t>CLOSE</t>
        </is>
      </c>
      <c r="D87" t="inlineStr">
        <is>
          <t>NVDA</t>
        </is>
      </c>
      <c r="E87" t="n">
        <v>1</v>
      </c>
      <c r="F87" t="n">
        <v>181</v>
      </c>
      <c r="G87" s="1" t="n">
        <v>46010</v>
      </c>
      <c r="H87" t="n">
        <v>8.75</v>
      </c>
      <c r="I87" t="n">
        <v>172.46</v>
      </c>
      <c r="J87">
        <f>UPPER(D87) &amp; "|" &amp; IF(F87="","",IF(MOD(F87,1)=0,TEXT(F87,"0"),TEXT(F87,"0.################"))) &amp; "|" &amp; TEXT(G87,"yyyy-mm-dd") &amp; "|" &amp; IF(K87="", "CALL", UPPER(K87)) &amp; "|" &amp; IF(C87="", "OPEN", UPPER(C87))</f>
        <v/>
      </c>
      <c r="K87" t="inlineStr">
        <is>
          <t>Put</t>
        </is>
      </c>
    </row>
    <row r="88">
      <c r="A88" t="inlineStr">
        <is>
          <t>Travis</t>
        </is>
      </c>
      <c r="B88" s="1" t="n">
        <v>46008.40972222222</v>
      </c>
      <c r="C88" t="inlineStr">
        <is>
          <t>OPEN</t>
        </is>
      </c>
      <c r="D88" t="inlineStr">
        <is>
          <t>NVDA</t>
        </is>
      </c>
      <c r="E88" t="n">
        <v>1</v>
      </c>
      <c r="F88" t="n">
        <v>177</v>
      </c>
      <c r="G88" s="1" t="n">
        <v>46010</v>
      </c>
      <c r="H88" t="n">
        <v>5.3</v>
      </c>
      <c r="I88" t="n">
        <v>172.46</v>
      </c>
      <c r="J88">
        <f>UPPER(D88) &amp; "|" &amp; IF(F88="","",IF(MOD(F88,1)=0,TEXT(F88,"0"),TEXT(F88,"0.################"))) &amp; "|" &amp; TEXT(G88,"yyyy-mm-dd") &amp; "|" &amp; IF(K88="", "CALL", UPPER(K88)) &amp; "|" &amp; IF(C88="", "OPEN", UPPER(C88))</f>
        <v/>
      </c>
      <c r="K88" t="inlineStr">
        <is>
          <t>Put</t>
        </is>
      </c>
    </row>
    <row r="89">
      <c r="A89" t="inlineStr">
        <is>
          <t>Travis</t>
        </is>
      </c>
      <c r="B89" s="1" t="n">
        <v>46010.36736111111</v>
      </c>
      <c r="C89" t="inlineStr">
        <is>
          <t>CLOSE</t>
        </is>
      </c>
      <c r="D89" t="inlineStr">
        <is>
          <t>NVDA</t>
        </is>
      </c>
      <c r="E89" t="n">
        <v>2</v>
      </c>
      <c r="F89" t="n">
        <v>177</v>
      </c>
      <c r="G89" s="1" t="n">
        <v>46010</v>
      </c>
      <c r="H89" t="n">
        <v>0.28</v>
      </c>
      <c r="I89" t="n">
        <v>179.6</v>
      </c>
      <c r="J89">
        <f>UPPER(D89) &amp; "|" &amp; IF(F89="","",IF(MOD(F89,1)=0,TEXT(F89,"0"),TEXT(F89,"0.################"))) &amp; "|" &amp; TEXT(G89,"yyyy-mm-dd") &amp; "|" &amp; IF(K89="", "CALL", UPPER(K89)) &amp; "|" &amp; IF(C89="", "OPEN", UPPER(C89))</f>
        <v/>
      </c>
      <c r="K89" t="inlineStr">
        <is>
          <t>Put</t>
        </is>
      </c>
    </row>
    <row r="90">
      <c r="A90" t="inlineStr">
        <is>
          <t>Travis</t>
        </is>
      </c>
      <c r="B90" s="1" t="n">
        <v>46009.40625</v>
      </c>
      <c r="C90" t="inlineStr">
        <is>
          <t>CLOSE</t>
        </is>
      </c>
      <c r="D90" t="inlineStr">
        <is>
          <t>NVDA</t>
        </is>
      </c>
      <c r="E90" t="n">
        <v>2</v>
      </c>
      <c r="F90" t="n">
        <v>169</v>
      </c>
      <c r="G90" s="1" t="n">
        <v>46010</v>
      </c>
      <c r="H90" t="n">
        <v>6.75</v>
      </c>
      <c r="I90" t="n">
        <v>175.54</v>
      </c>
      <c r="J90">
        <f>UPPER(D90) &amp; "|" &amp; IF(F90="","",IF(MOD(F90,1)=0,TEXT(F90,"0"),TEXT(F90,"0.################"))) &amp; "|" &amp; TEXT(G90,"yyyy-mm-dd") &amp; "|" &amp; IF(K90="", "CALL", UPPER(K90)) &amp; "|" &amp; IF(C90="", "OPEN", UPPER(C90))</f>
        <v/>
      </c>
      <c r="K90" t="inlineStr">
        <is>
          <t>Call</t>
        </is>
      </c>
    </row>
    <row r="91">
      <c r="A91" t="inlineStr">
        <is>
          <t>Travis</t>
        </is>
      </c>
      <c r="B91" s="1" t="n">
        <v>46010.36736111111</v>
      </c>
      <c r="C91" t="inlineStr">
        <is>
          <t>OPEN</t>
        </is>
      </c>
      <c r="D91" t="inlineStr">
        <is>
          <t>NVDA</t>
        </is>
      </c>
      <c r="E91" t="n">
        <v>2</v>
      </c>
      <c r="F91" t="n">
        <v>182.5</v>
      </c>
      <c r="G91" s="1" t="n">
        <v>46017</v>
      </c>
      <c r="H91" t="n">
        <v>4.5</v>
      </c>
      <c r="I91" t="n">
        <v>179.6</v>
      </c>
      <c r="J91">
        <f>UPPER(D91) &amp; "|" &amp; IF(F91="","",IF(MOD(F91,1)=0,TEXT(F91,"0"),TEXT(F91,"0.################"))) &amp; "|" &amp; TEXT(G91,"yyyy-mm-dd") &amp; "|" &amp; IF(K91="", "CALL", UPPER(K91)) &amp; "|" &amp; IF(C91="", "OPEN", UPPER(C91))</f>
        <v/>
      </c>
      <c r="K91" t="inlineStr">
        <is>
          <t>Put</t>
        </is>
      </c>
    </row>
    <row r="92">
      <c r="A92" t="inlineStr">
        <is>
          <t>Travis</t>
        </is>
      </c>
      <c r="B92" s="1" t="n">
        <v>46009.40625</v>
      </c>
      <c r="C92" t="inlineStr">
        <is>
          <t>OPEN</t>
        </is>
      </c>
      <c r="D92" t="inlineStr">
        <is>
          <t>NVDA</t>
        </is>
      </c>
      <c r="E92" t="n">
        <v>2</v>
      </c>
      <c r="F92" t="n">
        <v>170</v>
      </c>
      <c r="G92" s="1" t="n">
        <v>46017</v>
      </c>
      <c r="H92" t="n">
        <v>7.06</v>
      </c>
      <c r="I92" t="n">
        <v>175.54</v>
      </c>
      <c r="J92">
        <f>UPPER(D92) &amp; "|" &amp; IF(F92="","",IF(MOD(F92,1)=0,TEXT(F92,"0"),TEXT(F92,"0.################"))) &amp; "|" &amp; TEXT(G92,"yyyy-mm-dd") &amp; "|" &amp; IF(K92="", "CALL", UPPER(K92)) &amp; "|" &amp; IF(C92="", "OPEN", UPPER(C92))</f>
        <v/>
      </c>
      <c r="K92" t="inlineStr">
        <is>
          <t>Call</t>
        </is>
      </c>
    </row>
  </sheetData>
  <autoFilter ref="A1:J88">
    <sortState ref="A2:J90">
      <sortCondition ref="G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2025-09-29T19:46:21Z</dcterms:created>
  <dcterms:modified xsi:type="dcterms:W3CDTF">2026-02-09T14:05:24Z</dcterms:modified>
  <cp:lastModifiedBy>Blessing,Travis</cp:lastModifiedBy>
</cp:coreProperties>
</file>
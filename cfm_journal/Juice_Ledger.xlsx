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<sst xmlns="http://schemas.openxmlformats.org/spreadsheetml/2006/main" count="14" uniqueCount="14">
  <si>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Account</t>
  </si>
  <si>
    <t>Date</t>
  </si>
  <si>
    <t>Action</t>
  </si>
  <si>
    <t>Symbol</t>
  </si>
  <si>
    <t>Contracts</t>
  </si>
  <si>
    <t>Strike</t>
  </si>
  <si>
    <t>Expiry</t>
  </si>
  <si>
    <t>Premium/Buyback</t>
  </si>
  <si>
    <t>Underlying</t>
  </si>
  <si>
    <t>Juice/Contract</t>
  </si>
  <si>
    <t>Signed Juice ($)</t>
  </si>
  <si>
    <t>Signed Juice (per 100)</t>
  </si>
  <si>
    <t>Key</t>
  </si>
  <si>
    <t>Notes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</si>
</sst>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cols>
    <col min="1" max="14" width="18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J2">
        <f>IF(AND(F2&lt;&gt;"",I2&lt;&gt;""),H2-MAX(0,I2-F2),H2)</f>
        <v>0</v>
      </c>
      <c r="K2">
        <f>IF(UPPER(C2)="OPEN",1,-1) * N(J2) * N(E2)</f>
        <v>0</v>
      </c>
      <c r="L2">
        <f>K2 * 100</f>
        <v>0</v>
      </c>
      <c r="M2">
        <f>UPPER(D2) &amp; "|" &amp; TEXT(F2,"0.########") &amp; "|" &amp; TEXT(G2,"yyyy-mm-dd")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2025-09-29T19:46:21Z</dcterms:created>
  <dcterms:modified xsi:type="dcterms:W3CDTF">2025-09-29T19:46:21Z</dcterms:modified>
</cp:coreProperties>
</file>